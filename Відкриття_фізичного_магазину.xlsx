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міст" sheetId="1" state="visible" r:id="rId1"/>
    <sheet name="1. Операційний план" sheetId="2" state="visible" r:id="rId2"/>
    <sheet name="2. Схеми з інвестором" sheetId="3" state="visible" r:id="rId3"/>
    <sheet name="3. Term-sheet" sheetId="4" state="visible" r:id="rId4"/>
    <sheet name="4. Податки і регуляторика" sheetId="5" state="visible" r:id="rId5"/>
    <sheet name="5. Фінмодель CapEx-OpEx" sheetId="6" state="visible" r:id="rId6"/>
    <sheet name="6. Прогноз 12 місяців" sheetId="7" state="visible" r:id="rId7"/>
    <sheet name="7. Сценарії окупності" sheetId="8" state="visible" r:id="rId8"/>
    <sheet name="8. Дорожня карта" sheetId="9" state="visible" r:id="rId9"/>
    <sheet name="9. Реєстр ризиків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  <font>
      <b val="1"/>
      <color rgb="00C00000"/>
    </font>
    <font>
      <b val="1"/>
      <sz val="1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3" fontId="0" fillId="0" borderId="1" pivotButton="0" quotePrefix="0" xfId="0"/>
    <xf numFmtId="9" fontId="0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3" fontId="3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План відкриття фізичного магазину footballshop.com.ua — повна версія</t>
        </is>
      </c>
    </row>
    <row r="3">
      <c r="A3" s="2" t="inlineStr">
        <is>
          <t>Аркуш</t>
        </is>
      </c>
      <c r="B3" s="2" t="inlineStr">
        <is>
          <t>Зміст</t>
        </is>
      </c>
    </row>
    <row r="4">
      <c r="A4" s="3" t="inlineStr">
        <is>
          <t>1. Операційний план</t>
        </is>
      </c>
      <c r="B4" s="4" t="inlineStr">
        <is>
          <t>Облік запасів, логістика, ПРРО/POS, CMS, омніканальність, витрати</t>
        </is>
      </c>
    </row>
    <row r="5">
      <c r="A5" s="3" t="inlineStr">
        <is>
          <t>2. Схеми з інвестором</t>
        </is>
      </c>
      <c r="B5" s="4" t="inlineStr">
        <is>
          <t>5 юридичних конструкцій: суть, механізм, переваги, недоліки, коли доцільно</t>
        </is>
      </c>
    </row>
    <row r="6">
      <c r="A6" s="3" t="inlineStr">
        <is>
          <t>3. Term-sheet</t>
        </is>
      </c>
      <c r="B6" s="4" t="inlineStr">
        <is>
          <t>Розгорнуті пункти інвестиційної угоди</t>
        </is>
      </c>
    </row>
    <row r="7">
      <c r="A7" s="3" t="inlineStr">
        <is>
          <t>4. Податки і регуляторика</t>
        </is>
      </c>
      <c r="B7" s="4" t="inlineStr">
        <is>
          <t>ПРРО, оподаткування дивідендів/процентів, розмежування бізнесів</t>
        </is>
      </c>
    </row>
    <row r="8">
      <c r="A8" s="3" t="inlineStr">
        <is>
          <t>5. Фінмодель CapEx-OpEx</t>
        </is>
      </c>
      <c r="B8" s="4" t="inlineStr">
        <is>
          <t>Діапазони витрат (мін/макс), беззбитковість, живі формули</t>
        </is>
      </c>
    </row>
    <row r="9">
      <c r="A9" s="3" t="inlineStr">
        <is>
          <t>6. Прогноз 12 місяців</t>
        </is>
      </c>
      <c r="B9" s="4" t="inlineStr">
        <is>
          <t>Помісячний P&amp;L першого року з наростаючим підсумком</t>
        </is>
      </c>
    </row>
    <row r="10">
      <c r="A10" s="3" t="inlineStr">
        <is>
          <t>7. Сценарії окупності</t>
        </is>
      </c>
      <c r="B10" s="4" t="inlineStr">
        <is>
          <t>Позика (графік платежів PMT), частка прибутку, конвертація</t>
        </is>
      </c>
    </row>
    <row r="11">
      <c r="A11" s="3" t="inlineStr">
        <is>
          <t>8. Дорожня карта</t>
        </is>
      </c>
      <c r="B11" s="4" t="inlineStr">
        <is>
          <t>Етапи і строки (деталі — у файлі Діаграма_Ганта.xlsx)</t>
        </is>
      </c>
    </row>
    <row r="12">
      <c r="A12" s="3" t="inlineStr">
        <is>
          <t>9. Реєстр ризиків</t>
        </is>
      </c>
      <c r="B12" s="4" t="inlineStr">
        <is>
          <t>12 ризиків: ймовірність, вплив, рівень, заходи мінімізації</t>
        </is>
      </c>
    </row>
    <row r="14">
      <c r="A14" s="5" t="inlineStr">
        <is>
          <t>Примітки:</t>
        </is>
      </c>
    </row>
    <row r="15">
      <c r="A15" s="6" t="inlineStr">
        <is>
          <t>• Усі суми — прогнозні; уточнити під конкретну локацію та орендні ставки.</t>
        </is>
      </c>
    </row>
    <row r="16">
      <c r="A16" s="6" t="inlineStr">
        <is>
          <t>• Податкові ставки (станом на 2026) підтвердити з податковим консультантом — норми воєнного часу змінюються.</t>
        </is>
      </c>
    </row>
    <row r="17" ht="30" customHeight="1">
      <c r="A17" s="7" t="inlineStr">
        <is>
          <t>• КРИТИЧНО: з 06.01.2026 ПЗ 1С/BAS заборонено в Україні (рішення Держспецзв'язку, штрафи до 2% річного обороту). Bitrix і МойСклад — російського походження. Не використовувати.</t>
        </is>
      </c>
    </row>
  </sheetData>
  <mergeCells count="4">
    <mergeCell ref="A1:C1"/>
    <mergeCell ref="A16:B16"/>
    <mergeCell ref="A15:B15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42" customWidth="1" min="3" max="3"/>
    <col width="46" customWidth="1" min="4" max="4"/>
    <col width="38" customWidth="1" min="5" max="5"/>
  </cols>
  <sheetData>
    <row r="1">
      <c r="A1" s="1" t="inlineStr">
        <is>
          <t>Операційний план</t>
        </is>
      </c>
    </row>
    <row r="2" ht="32" customHeight="1">
      <c r="A2" s="7" t="inlineStr">
        <is>
          <t>УВАГА: з 06.01.2026 Держспецзв'язку заборонила ПЗ 1С та BAS в Україні. Заборона стосується самого факту використання, штрафи — до 2% річного обороту. 1С-Бітрікс, Bitrix24 та МойСклад — продукти російського походження, їх також не використовувати.</t>
        </is>
      </c>
    </row>
    <row r="4">
      <c r="A4" s="2" t="inlineStr">
        <is>
          <t>Напрям</t>
        </is>
      </c>
      <c r="B4" s="2" t="inlineStr">
        <is>
          <t>Рішення / інструменти</t>
        </is>
      </c>
      <c r="C4" s="2" t="inlineStr">
        <is>
          <t>Що має бути зроблено</t>
        </is>
      </c>
      <c r="D4" s="2" t="inlineStr">
        <is>
          <t>Деталі реалізації</t>
        </is>
      </c>
      <c r="E4" s="2" t="inlineStr">
        <is>
          <t>Примітки</t>
        </is>
      </c>
    </row>
    <row r="5">
      <c r="A5" s="3" t="inlineStr">
        <is>
          <t>Облік запасів / ERP, CRM</t>
        </is>
      </c>
      <c r="B5" s="4" t="inlineStr">
        <is>
          <t>Dilovod, MASTER:Бухгалтерія, IT-Enterprise, SmartFusion (укр.); Odoo, ERPNext (open-source/міжнародні); KeyCRM, SalesDrive, Perfectum (укр. CRM для e-commerce)</t>
        </is>
      </c>
      <c r="C5" s="4" t="inlineStr">
        <is>
          <t>Єдина система обліку запасів для складу і магазину; синхронізація через API між сайтом та обліковою системою</t>
        </is>
      </c>
      <c r="D5" s="4" t="inlineStr">
        <is>
          <t>Звіти про залишки і допоставку; мінімальні рівні запасу (reorder point); штрихкодування товару; мобільні сканери для інвентаризації</t>
        </is>
      </c>
      <c r="E5" s="4" t="inlineStr">
        <is>
          <t>Виключено заборонені 1С:Підприємство, 1С-Бітрікс, BAS, МойСклад</t>
        </is>
      </c>
    </row>
    <row r="6">
      <c r="A6" s="3" t="inlineStr">
        <is>
          <t>Логістика / комплектація</t>
        </is>
      </c>
      <c r="B6" s="4" t="inlineStr">
        <is>
          <t>Нова пошта (основний партнер — найбільша мережа відділень), Укрпошта, Justin</t>
        </is>
      </c>
      <c r="C6" s="4" t="inlineStr">
        <is>
          <t>Швидке збирання онлайн-замовлень на складі; самовивіз/пікап у новому магазині</t>
        </is>
      </c>
      <c r="D6" s="4" t="inlineStr">
        <is>
          <t>Закласти в собівартість тарифи доставки (~70–120 грн залежно від ваги, тарифи 2026 уточнити) і пакувальні матеріали</t>
        </is>
      </c>
      <c r="E6" s="4" t="inlineStr">
        <is>
          <t>Розглянути партнерські точки видачі</t>
        </is>
      </c>
    </row>
    <row r="7">
      <c r="A7" s="3" t="inlineStr">
        <is>
          <t>POS / ПРРО та фіскалізація</t>
        </is>
      </c>
      <c r="B7" s="4" t="inlineStr">
        <is>
          <t>Checkbox (укр. програмний РРО), Вчасно.Каса; POS-системи Poster, iKassa (планшет/смартфон)</t>
        </is>
      </c>
      <c r="C7" s="4" t="inlineStr">
        <is>
          <t>ПРРО обов'язкові в Україні з 2022 р. для більшості розрахункових операцій; щоденний Z-звіт</t>
        </is>
      </c>
      <c r="D7" s="4" t="inlineStr">
        <is>
          <t>Каса в магазині на планшеті/смартфоні з POS-додатком; інтеграція ПРРО з обліковою системою</t>
        </is>
      </c>
      <c r="E7" s="4" t="inlineStr">
        <is>
          <t>Реєстрація ПРРО у податковій до старту продажів</t>
        </is>
      </c>
    </row>
    <row r="8">
      <c r="A8" s="3" t="inlineStr">
        <is>
          <t>Омніканальність</t>
        </is>
      </c>
      <c r="B8" s="4" t="inlineStr">
        <is>
          <t>Єдина база товарів і залишків онлайн+офлайн</t>
        </is>
      </c>
      <c r="C8" s="4" t="inlineStr">
        <is>
          <t>Товари, придбані онлайн, резервуються в магазині, і навпаки; єдиний каталог товарів</t>
        </is>
      </c>
      <c r="D8" s="4" t="inlineStr">
        <is>
          <t>Єдиний клієнтський акаунт: на сайті видно замовлення і бонуси з офлайн-покупок; спільна бонусна програма</t>
        </is>
      </c>
      <c r="E8" s="4" t="inlineStr">
        <is>
          <t>Автооновлення залишків після кожного продажу в будь-якому каналі</t>
        </is>
      </c>
    </row>
    <row r="9">
      <c r="A9" s="3" t="inlineStr">
        <is>
          <t>CMS / сайт</t>
        </is>
      </c>
      <c r="B9" s="4" t="inlineStr">
        <is>
          <t>Поточний сайт — Next.js (кастом); альтернативи за потреби: WooCommerce, Shopify, OpenCart, Magento</t>
        </is>
      </c>
      <c r="C9" s="4" t="inlineStr">
        <is>
          <t>Український інтерфейс; SEO-оптимізація україномовного контенту</t>
        </is>
      </c>
      <c r="D9" s="4" t="inlineStr">
        <is>
          <t>Підтримка інтеграцій із POS/ERP через API або плагіни</t>
        </is>
      </c>
      <c r="E9" s="4" t="inlineStr">
        <is>
          <t>1С-Бітрікс як CMS — виключити (заборонене рос. ПЗ)</t>
        </is>
      </c>
    </row>
    <row r="10">
      <c r="A10" s="3" t="inlineStr">
        <is>
          <t>Платіжна інфраструктура</t>
        </is>
      </c>
      <c r="B10" s="4" t="inlineStr">
        <is>
          <t>LiqPay, Fondy, Portmone, WayForPay (укр. шлюзи)</t>
        </is>
      </c>
      <c r="C10" s="4" t="inlineStr">
        <is>
          <t>Онлайн-оплата на сайті; еквайринг у магазині (банківський POS-термінал)</t>
        </is>
      </c>
      <c r="D10" s="4" t="inlineStr">
        <is>
          <t>Інтеграція з сервісами доставки (Нова пошта) для накладених платежів</t>
        </is>
      </c>
      <c r="E10" s="4" t="inlineStr">
        <is>
          <t>Комісії шлюзів закласти у фінмодель (~1.5–2.7%)</t>
        </is>
      </c>
    </row>
    <row r="11">
      <c r="A11" s="3" t="inlineStr">
        <is>
          <t>Поточні витрати (поза відкриттям)</t>
        </is>
      </c>
      <c r="B11" s="4" t="inlineStr">
        <is>
          <t>Склад: оренда, зберігання; персонал: оператори, комплектувальники</t>
        </is>
      </c>
      <c r="C11" s="4" t="inlineStr">
        <is>
          <t>Електрика, інтернет, комунальні</t>
        </is>
      </c>
      <c r="D11" s="4" t="inlineStr">
        <is>
          <t>Оптимізація: крос-промо між онлайном і офлайном (спільні акції, єдина бонусна програма)</t>
        </is>
      </c>
      <c r="E11" s="4" t="inlineStr">
        <is>
          <t>Регулярний перегляд витрат раз на квартал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44" customWidth="1" min="3" max="3"/>
    <col width="36" customWidth="1" min="4" max="4"/>
    <col width="38" customWidth="1" min="5" max="5"/>
    <col width="34" customWidth="1" min="6" max="6"/>
  </cols>
  <sheetData>
    <row r="1">
      <c r="A1" s="1" t="inlineStr">
        <is>
          <t>Юридичні та фінансові схеми залучення інвестора — БЕЗ передачі частки в онлайн-бізнесі</t>
        </is>
      </c>
    </row>
    <row r="3">
      <c r="A3" s="2" t="inlineStr">
        <is>
          <t>Схема</t>
        </is>
      </c>
      <c r="B3" s="2" t="inlineStr">
        <is>
          <t>Суть</t>
        </is>
      </c>
      <c r="C3" s="2" t="inlineStr">
        <is>
          <t>Механізм</t>
        </is>
      </c>
      <c r="D3" s="2" t="inlineStr">
        <is>
          <t>Переваги</t>
        </is>
      </c>
      <c r="E3" s="2" t="inlineStr">
        <is>
          <t>Недоліки</t>
        </is>
      </c>
      <c r="F3" s="2" t="inlineStr">
        <is>
          <t>Коли доцільна</t>
        </is>
      </c>
    </row>
    <row r="4">
      <c r="A4" s="3" t="inlineStr">
        <is>
          <t>1. Окрема юридична особа (нове ТОВ / SPV)</t>
        </is>
      </c>
      <c r="B4" s="4" t="inlineStr">
        <is>
          <t>Створюється окреме ТОВ (або філія) для фізичної точки. Інвестор вносить кошти саме в цю нову компанію — через позику або купівлю частки в ній. Існуючий footballshop.com.ua продовжує працювати в іншій компанії без участі інвестора.</t>
        </is>
      </c>
      <c r="C4" s="4" t="inlineStr">
        <is>
          <t>Інвестор дає позику новому ТОВ під % (із забезпеченням майном магазину), опціонально — конвертує позику в капітал нового ТОВ за певних умов. Права на сайт і торгову марку лишаються у материнській структурі.</t>
        </is>
      </c>
      <c r="D4" s="4" t="inlineStr">
        <is>
          <t>Права на сайт і ТМ — 100% у власника; чітке розмежування активів і ризиків; прозора структура для інвестора</t>
        </is>
      </c>
      <c r="E4" s="4" t="inlineStr">
        <is>
          <t>Витрати на створення і адміністрування другої юрособи; потрібен договір про використання бренду між компаніями</t>
        </is>
      </c>
      <c r="F4" s="4" t="inlineStr">
        <is>
          <t>Базова рекомендована конструкція; комбінується з позикою або конвертованою позикою</t>
        </is>
      </c>
    </row>
    <row r="5">
      <c r="A5" s="3" t="inlineStr">
        <is>
          <t>2. Позика / конвертована позика (convertible loan)</t>
        </is>
      </c>
      <c r="B5" s="4" t="inlineStr">
        <is>
          <t>Інвестор надає кредит під фіксований відсоток. У конвертованій версії частина боргу за домовленістю може перетворитися на частку в новому ТОВ.</t>
        </is>
      </c>
      <c r="C5" s="4" t="inlineStr">
        <is>
          <t>Українське законодавство (зміни 2018–2021 рр., Закон про ТОВ) дозволяє зарахування позикового зобов'язання як додаткового внеску до статутного капіталу. Конвертація — за заздалегідь узгодженою формулою оцінки.</t>
        </is>
      </c>
      <c r="D5" s="4" t="inlineStr">
        <is>
          <t>Власник утримує контроль (може не конвертувати); інвестор має фіксований дохід незалежно від прибутковості</t>
        </is>
      </c>
      <c r="E5" s="4" t="inlineStr">
        <is>
          <t>Зобов'язання з виплати відсотків навіть за збитковості точки; ризик неповернення для інвестора — тому часто вимагає застави</t>
        </is>
      </c>
      <c r="F5" s="4" t="inlineStr">
        <is>
          <t>Доцільна, коли інвестор хоче гарантій, а власник — контролю</t>
        </is>
      </c>
    </row>
    <row r="6">
      <c r="A6" s="3" t="inlineStr">
        <is>
          <t>3. Договір про спільну діяльність (просте товариство, гл. 77 ЦКУ)</t>
        </is>
      </c>
      <c r="B6" s="4" t="inlineStr">
        <is>
          <t>Інвестор укладає договір із власником, за яким утворюється спільна діяльність виключно щодо офлайн-магазину. Структура власності ТОВ не змінюється.</t>
        </is>
      </c>
      <c r="C6" s="4" t="inlineStr">
        <is>
          <t>Інвестор вносить капітал (кошти або обладнання) і отримує договірну частину чистого прибутку точки у визначеній пропорції. Регулюється ЦКУ/ГКУ.</t>
        </is>
      </c>
      <c r="D6" s="4" t="inlineStr">
        <is>
          <t>Немає формальної передачі частки; максимальна гнучкість умов; швидке оформлення</t>
        </is>
      </c>
      <c r="E6" s="4" t="inlineStr">
        <is>
          <t>Слабший захист інвестицій; інвестор не має корпоративних прав; податкові нюанси обліку спільної діяльності (окремий облік)</t>
        </is>
      </c>
      <c r="F6" s="4" t="inlineStr">
        <is>
          <t>Підходить для відносин із високим рівнем довіри; обов'язково детальний договір</t>
        </is>
      </c>
    </row>
    <row r="7">
      <c r="A7" s="3" t="inlineStr">
        <is>
          <t>4. Франчайзинг / комерційна концесія (гл. 76 ЦКУ)</t>
        </is>
      </c>
      <c r="B7" s="4" t="inlineStr">
        <is>
          <t>Власник бренду укладає з інвестором договір на використання бренду і технологій. Інвестор відкриває магазин під брендом FootballShop і платить роялті або відсоток від виручки.</t>
        </is>
      </c>
      <c r="C7" s="4" t="inlineStr">
        <is>
          <t>Інвестор фінансує і володіє точкою сам, але працює за стандартами бренду; власник не втрачає жодних прав на онлайн-бізнес.</t>
        </is>
      </c>
      <c r="D7" s="4" t="inlineStr">
        <is>
          <t>Чисто контрактна структура без змін у статутному капіталі; масштабується на наступні точки; мінімальний фінансовий ризик власника</t>
        </is>
      </c>
      <c r="E7" s="4" t="inlineStr">
        <is>
          <t>Потрібно формалізувати стандарти, навчання, контроль якості й аудит точки; складніше контролювати клієнтський досвід</t>
        </is>
      </c>
      <c r="F7" s="4" t="inlineStr">
        <is>
          <t>Доцільна, якщо інвестор хоче ВОЛОДІТИ точкою, а власник — лише брендом</t>
        </is>
      </c>
    </row>
    <row r="8">
      <c r="A8" s="3" t="inlineStr">
        <is>
          <t>5. Управлінський контракт (management contract)</t>
        </is>
      </c>
      <c r="B8" s="4" t="inlineStr">
        <is>
          <t>Власник зберігає операційне керівництво всім бізнесом; інвестор надає фінансування і отримує винагороду (відсоток доходу) та/або представництво у фінансовому контролі нового ТОВ.</t>
        </is>
      </c>
      <c r="C8" s="4" t="inlineStr">
        <is>
          <t>Контракт включає KPI (виручка, маржа, строки) та умови виходу: наприклад, через 3–5 років інвестор може продати свою участь за узгодженою формулою.</t>
        </is>
      </c>
      <c r="D8" s="4" t="inlineStr">
        <is>
          <t>Без частки в материнській компанії; власник повністю керує; зрозумілі KPI</t>
        </is>
      </c>
      <c r="E8" s="4" t="inlineStr">
        <is>
          <t>Потребує ретельно прописаних KPI та механізму виходу; інвестор може вимагати ширшого контролю в процесі</t>
        </is>
      </c>
      <c r="F8" s="4" t="inlineStr">
        <is>
          <t>Комбінується зі схемами 1–2 як надбудова про управління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  <col width="44" customWidth="1" min="3" max="3"/>
  </cols>
  <sheetData>
    <row r="1">
      <c r="A1" s="1" t="inlineStr">
        <is>
          <t>Розгорнуті пункти інвестиційної угоди (term-sheet)</t>
        </is>
      </c>
    </row>
    <row r="3">
      <c r="A3" s="2" t="inlineStr">
        <is>
          <t>Пункт</t>
        </is>
      </c>
      <c r="B3" s="2" t="inlineStr">
        <is>
          <t>Зміст</t>
        </is>
      </c>
      <c r="C3" s="2" t="inlineStr">
        <is>
          <t>Коментар</t>
        </is>
      </c>
    </row>
    <row r="4">
      <c r="A4" s="3" t="inlineStr">
        <is>
          <t>Предмет договору</t>
        </is>
      </c>
      <c r="B4" s="4" t="inlineStr">
        <is>
          <t>Інвестор зобов'язується надати фінансування в розмірі X грн, що використовується виключно на відкриття і запуск магазину: оренда, ремонт, обладнання, початковий товарний запас, маркетинг запуску.</t>
        </is>
      </c>
      <c r="C4" s="4" t="inlineStr">
        <is>
          <t>Цільове використання підтверджується звітами і первинними документами</t>
        </is>
      </c>
    </row>
    <row r="5">
      <c r="A5" s="3" t="inlineStr">
        <is>
          <t>Структура і транші</t>
        </is>
      </c>
      <c r="B5" s="4" t="inlineStr">
        <is>
          <t>Наприклад: 20% — одразу після підписання; решта — поетапно за досягненням віх: підписання договору оренди, завершення ремонту, отримання дозволів, запуск ПРРО.</t>
        </is>
      </c>
      <c r="C5" s="4" t="inlineStr">
        <is>
          <t>Кожен транш — після підтвердження попередньої віхи</t>
        </is>
      </c>
    </row>
    <row r="6">
      <c r="A6" s="3" t="inlineStr">
        <is>
          <t>Доходи та розподіл</t>
        </is>
      </c>
      <c r="B6" s="4" t="inlineStr">
        <is>
          <t>Варіант А (позикова схема): фіксований відсоток річних + графік погашення тіла. Варіант Б (profit-share): визначений % від чистого прибутку магазину. Варіант В (revenue-share): % від виручки.</t>
        </is>
      </c>
      <c r="C6" s="4" t="inlineStr">
        <is>
          <t>Обрати один варіант або комбінацію; зафіксувати формулу розрахунку чистого прибутку</t>
        </is>
      </c>
    </row>
    <row r="7">
      <c r="A7" s="3" t="inlineStr">
        <is>
          <t>Конвертація</t>
        </is>
      </c>
      <c r="B7" s="4" t="inlineStr">
        <is>
          <t>Право інвестора конвертувати позику в частку НОВОГО ТОВ (не материнської компанії) — наприклад, через 2–3 роки за заздалегідь узгодженою методикою оцінки (мультиплікатор EBITDA або фіксована оцінка).</t>
        </is>
      </c>
      <c r="C7" s="4" t="inlineStr">
        <is>
          <t>Конвертація НЕ поширюється на онлайн-бізнес, сайт і ТМ</t>
        </is>
      </c>
    </row>
    <row r="8">
      <c r="A8" s="3" t="inlineStr">
        <is>
          <t>Гарантії та захист інвестора</t>
        </is>
      </c>
      <c r="B8" s="4" t="inlineStr">
        <is>
          <t>Застава: обладнання магазину, орендні права. Регулярна фінансова звітність (щомісячна управлінська + щоквартальна офіційна). Право аудиту з повідомленням за N днів.</t>
        </is>
      </c>
      <c r="C8" s="4" t="inlineStr">
        <is>
          <t>Перелік документів звітності — додатком до договору</t>
        </is>
      </c>
    </row>
    <row r="9">
      <c r="A9" s="3" t="inlineStr">
        <is>
          <t>Розподіл ризиків</t>
        </is>
      </c>
      <c r="B9" s="4" t="inlineStr">
        <is>
          <t>Наприклад: інвестор несе ризик якості ремонту/будівництва (через підрядників, яких погодив); власник — операційні ризики і ризик законодавчих змін.</t>
        </is>
      </c>
      <c r="C9" s="4" t="inlineStr">
        <is>
          <t>Форс-мажор (включно з воєнними ризиками) — окремий розділ</t>
        </is>
      </c>
    </row>
    <row r="10">
      <c r="A10" s="3" t="inlineStr">
        <is>
          <t>Заборона втручання в онлайн-бізнес</t>
        </is>
      </c>
      <c r="B10" s="4" t="inlineStr">
        <is>
          <t>Прямий пункт: інвестування не надає інвестору жодних прав на онлайн-магазин, сайт, домен, торгову марку, клієнтську базу онлайн-каналу.</t>
        </is>
      </c>
      <c r="C10" s="4" t="inlineStr">
        <is>
          <t>Ключовий захисний пункт для власника</t>
        </is>
      </c>
    </row>
    <row r="11">
      <c r="A11" s="3" t="inlineStr">
        <is>
          <t>Вихідна стратегія (exit)</t>
        </is>
      </c>
      <c r="B11" s="4" t="inlineStr">
        <is>
          <t>Умови розірвання договору; право власника на викуп частки/боргу (buy-back) за формулою; порядок дій при недосягненні KPI; продаж частки третій особі — лише з правом першої відмови власника.</t>
        </is>
      </c>
      <c r="C11" s="4" t="inlineStr">
        <is>
          <t>Зафіксувати строки і формули заздалегідь</t>
        </is>
      </c>
    </row>
    <row r="12">
      <c r="A12" s="3" t="inlineStr">
        <is>
          <t>Вирішення спорів</t>
        </is>
      </c>
      <c r="B12" s="4" t="inlineStr">
        <is>
          <t>Переговори → медіація → арбітраж/суд. Арбітражне застереження; підсудність; застосовне право — України.</t>
        </is>
      </c>
      <c r="C12" s="4" t="inlineStr">
        <is>
          <t>Для інвестора-нерезидента розглянути міжнародний арбітраж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78" customWidth="1" min="2" max="2"/>
    <col width="44" customWidth="1" min="3" max="3"/>
  </cols>
  <sheetData>
    <row r="1">
      <c r="A1" s="1" t="inlineStr">
        <is>
          <t>Податкові та регуляторні аспекти (станом на 2026, перевірено за відкритими джерелами)</t>
        </is>
      </c>
    </row>
    <row r="3">
      <c r="A3" s="2" t="inlineStr">
        <is>
          <t>Аспект</t>
        </is>
      </c>
      <c r="B3" s="2" t="inlineStr">
        <is>
          <t>Зміст</t>
        </is>
      </c>
      <c r="C3" s="2" t="inlineStr">
        <is>
          <t>Коментар / дія</t>
        </is>
      </c>
    </row>
    <row r="4">
      <c r="A4" s="3" t="inlineStr">
        <is>
          <t>ПРРО / РРО</t>
        </is>
      </c>
      <c r="B4" s="4" t="inlineStr">
        <is>
          <t>Магазин зобов'язаний застосовувати реєстратор розрахункових операцій при розрахунках із покупцями. Практичне рішення — програмний РРО (Checkbox, Вчасно.Каса): реєстрація у податковій, фіскалізація кожного чека, щоденний Z-звіт.</t>
        </is>
      </c>
      <c r="C4" s="4" t="inlineStr">
        <is>
          <t>Без ПРРО торгівля неможлива; штрафи за продаж повз касу значні</t>
        </is>
      </c>
    </row>
    <row r="5">
      <c r="A5" s="3" t="inlineStr">
        <is>
          <t>ПДВ</t>
        </is>
      </c>
      <c r="B5" s="4" t="inlineStr">
        <is>
          <t>Якщо обороти перевищать поріг обов'язкової реєстрації платником ПДВ (1 млн грн за 12 міс.) — реєстрація обов'язкова. Закупівлі з ПДВ дають податковий кредит.</t>
        </is>
      </c>
      <c r="C5" s="4" t="inlineStr">
        <is>
          <t>Вибір системи оподаткування нового ТОВ розрахувати з бухгалтером ДО реєстрації</t>
        </is>
      </c>
    </row>
    <row r="6">
      <c r="A6" s="3" t="inlineStr">
        <is>
          <t>Дивіденди інвестору-фізособі</t>
        </is>
      </c>
      <c r="B6" s="4" t="inlineStr">
        <is>
          <t>ПДФО 5% — якщо ТОВ на загальній системі; ПДФО 9% — якщо емітент на єдиному податку. Плюс військовий збір 5%. ВЗ із дивідендів утримується лише тоді, коли вони оподатковуються ПДФО.</t>
        </is>
      </c>
      <c r="C6" s="4" t="inlineStr">
        <is>
          <t>Разом: 10% або 14% залежно від системи оподаткування ТОВ</t>
        </is>
      </c>
    </row>
    <row r="7">
      <c r="A7" s="3" t="inlineStr">
        <is>
          <t>Проценти за позикою інвестору-фізособі</t>
        </is>
      </c>
      <c r="B7" s="4" t="inlineStr">
        <is>
          <t>ПДФО 18% + військовий збір 5% = сумарно 23% з процентного доходу.</t>
        </is>
      </c>
      <c r="C7" s="4" t="inlineStr">
        <is>
          <t>ТОВ виступає податковим агентом — утримує при виплаті</t>
        </is>
      </c>
    </row>
    <row r="8">
      <c r="A8" s="3" t="inlineStr">
        <is>
          <t>Військовий збір (загальне)</t>
        </is>
      </c>
      <c r="B8" s="4" t="inlineStr">
        <is>
          <t>Чинна ставка для фізичних осіб — 5% (підвищена з 1,5%).</t>
        </is>
      </c>
      <c r="C8" s="4" t="inlineStr">
        <is>
          <t>Перевірено: tax.gov.ua, кампанія декларування 2026</t>
        </is>
      </c>
    </row>
    <row r="9">
      <c r="A9" s="3" t="inlineStr">
        <is>
          <t>Розмежування бізнесів</t>
        </is>
      </c>
      <c r="B9" s="4" t="inlineStr">
        <is>
          <t>Онлайн (існуючий ФОП/ТОВ власника) і офлайн (нове ТОВ) ведуться окремо: окремі рахунки, окремий облік, договір про використання бренду між ними.</t>
        </is>
      </c>
      <c r="C9" s="4" t="inlineStr">
        <is>
          <t>Це і є механізм захисту онлайн-бізнесу від претензій інвестора</t>
        </is>
      </c>
    </row>
    <row r="10">
      <c r="A10" s="3" t="inlineStr">
        <is>
          <t>Конвертація боргу в капітал</t>
        </is>
      </c>
      <c r="B10" s="4" t="inlineStr">
        <is>
          <t>Закон «Про ТОВ» дозволяє зарахування грошової вимоги за позикою як додаткового вкладу до статутного капіталу (зміни 2018–2021 рр.).</t>
        </is>
      </c>
      <c r="C10" s="4" t="inlineStr">
        <is>
          <t>Оформлюється рішенням загальних зборів + змінами до статуту</t>
        </is>
      </c>
    </row>
    <row r="11">
      <c r="A11" s="3" t="inlineStr">
        <is>
          <t>Інвестор-нерезидент</t>
        </is>
      </c>
      <c r="B11" s="4" t="inlineStr">
        <is>
          <t>Валютне регулювання НБУ: позики від нерезидентів реєструються; виплати за кордон — з урахуванням обмежень воєнного часу; перевірити конвенції про уникнення подвійного оподаткування.</t>
        </is>
      </c>
      <c r="C11" s="4" t="inlineStr">
        <is>
          <t>Залучити юриста з валютного регулювання</t>
        </is>
      </c>
    </row>
    <row r="12">
      <c r="A12" s="3" t="inlineStr">
        <is>
          <t>Заборонене ПЗ</t>
        </is>
      </c>
      <c r="B12" s="4" t="inlineStr">
        <is>
          <t>З 06.01.2026 використання ПЗ 1С/BAS заборонено (перелік Держспецзв'язку); штрафи до 2% річного обороту. Стосується і факту використання, не лише закупівлі.</t>
        </is>
      </c>
      <c r="C12" s="4" t="inlineStr">
        <is>
          <t>Перевірити все ПЗ компанії на входження до переліку cip.gov.ua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22" customWidth="1" min="4" max="4"/>
    <col width="40" customWidth="1" min="5" max="5"/>
  </cols>
  <sheetData>
    <row r="1">
      <c r="A1" s="1" t="inlineStr">
        <is>
          <t>Фінансова модель: магазин ~40–50 м² (діапазони мін–макс, живі формули)</t>
        </is>
      </c>
    </row>
    <row r="3">
      <c r="A3" s="2" t="inlineStr">
        <is>
          <t>Стаття</t>
        </is>
      </c>
      <c r="B3" s="2" t="inlineStr">
        <is>
          <t>Мін, грн</t>
        </is>
      </c>
      <c r="C3" s="2" t="inlineStr">
        <is>
          <t>Макс, грн</t>
        </is>
      </c>
      <c r="D3" s="2" t="inlineStr">
        <is>
          <t>База розрахунку (мін)</t>
        </is>
      </c>
      <c r="E3" s="2" t="inlineStr">
        <is>
          <t>Коментар</t>
        </is>
      </c>
    </row>
    <row r="4">
      <c r="A4" s="8" t="inlineStr">
        <is>
          <t>CapEx (разові витрати)</t>
        </is>
      </c>
      <c r="B4" s="8" t="n"/>
      <c r="C4" s="8" t="n"/>
      <c r="D4" s="8" t="n"/>
      <c r="E4" s="8" t="n"/>
    </row>
    <row r="5">
      <c r="A5" s="4" t="inlineStr">
        <is>
          <t>Ремонт / облаштування (зал, стелажі, фасад)</t>
        </is>
      </c>
      <c r="B5" s="9" t="n">
        <v>150000</v>
      </c>
      <c r="C5" s="9" t="n">
        <v>300000</v>
      </c>
      <c r="D5" s="4" t="n"/>
      <c r="E5" s="4" t="inlineStr">
        <is>
          <t>Залежить від стану приміщення</t>
        </is>
      </c>
    </row>
    <row r="6">
      <c r="A6" s="4" t="inlineStr">
        <is>
          <t>Початковий товарний запас (форма, взуття, м'ячі)</t>
        </is>
      </c>
      <c r="B6" s="9" t="n">
        <v>300000</v>
      </c>
      <c r="C6" s="9" t="n">
        <v>400000</v>
      </c>
      <c r="D6" s="4" t="n"/>
      <c r="E6" s="4" t="inlineStr">
        <is>
          <t>Глибина асортименту за брендами</t>
        </is>
      </c>
    </row>
    <row r="7">
      <c r="A7" s="4" t="inlineStr">
        <is>
          <t>Техніка / каса (комп'ютер, принтер чеків, сканер)</t>
        </is>
      </c>
      <c r="B7" s="9" t="n">
        <v>50000</v>
      </c>
      <c r="C7" s="9" t="n">
        <v>50000</v>
      </c>
      <c r="D7" s="4" t="n"/>
      <c r="E7" s="4" t="inlineStr">
        <is>
          <t>Плюс банківський POS-термінал (від банку)</t>
        </is>
      </c>
    </row>
    <row r="8">
      <c r="A8" s="4" t="inlineStr">
        <is>
          <t>Дизайн-проєкт</t>
        </is>
      </c>
      <c r="B8" s="9" t="n">
        <v>25000</v>
      </c>
      <c r="C8" s="9" t="n">
        <v>40000</v>
      </c>
      <c r="D8" s="4" t="n"/>
      <c r="E8" s="4" t="n"/>
    </row>
    <row r="9">
      <c r="A9" s="4" t="inlineStr">
        <is>
          <t>Юридичне оформлення (ТОВ, інвестдоговір, оренда)</t>
        </is>
      </c>
      <c r="B9" s="9" t="n">
        <v>30000</v>
      </c>
      <c r="C9" s="9" t="n">
        <v>55000</v>
      </c>
      <c r="D9" s="4" t="n"/>
      <c r="E9" s="4" t="inlineStr">
        <is>
          <t>Юрист + реєстраційні платежі</t>
        </is>
      </c>
    </row>
    <row r="10">
      <c r="A10" s="4" t="inlineStr">
        <is>
          <t>ІТ: ERP/CRM, ПРРО, інтеграція з сайтом</t>
        </is>
      </c>
      <c r="B10" s="9" t="n">
        <v>60000</v>
      </c>
      <c r="C10" s="9" t="n">
        <v>90000</v>
      </c>
      <c r="D10" s="4" t="n"/>
      <c r="E10" s="4" t="inlineStr">
        <is>
          <t>Впровадження + інтеграція API</t>
        </is>
      </c>
    </row>
    <row r="11">
      <c r="A11" s="4" t="inlineStr">
        <is>
          <t>Рекламна кампанія до запуску</t>
        </is>
      </c>
      <c r="B11" s="9" t="n">
        <v>30000</v>
      </c>
      <c r="C11" s="9" t="n">
        <v>50000</v>
      </c>
      <c r="D11" s="4" t="n"/>
      <c r="E11" s="4" t="inlineStr">
        <is>
          <t>SMM + локальна реклама + відкриття</t>
        </is>
      </c>
    </row>
    <row r="12">
      <c r="A12" s="3" t="inlineStr">
        <is>
          <t>РАЗОМ CapEx</t>
        </is>
      </c>
      <c r="B12" s="10">
        <f>SUM(B5:B11)</f>
        <v/>
      </c>
      <c r="C12" s="10">
        <f>SUM(C5:C11)</f>
        <v/>
      </c>
      <c r="D12" s="3" t="n"/>
      <c r="E12" s="3" t="inlineStr">
        <is>
          <t>Орієнтир: ~645–985 тис. грн</t>
        </is>
      </c>
    </row>
    <row r="13">
      <c r="A13" s="8" t="inlineStr">
        <is>
          <t>OpEx (щомісячні витрати)</t>
        </is>
      </c>
      <c r="B13" s="8" t="n"/>
      <c r="C13" s="8" t="n"/>
      <c r="D13" s="8" t="n"/>
      <c r="E13" s="8" t="n"/>
    </row>
    <row r="14">
      <c r="A14" s="4" t="inlineStr">
        <is>
          <t>Оренда (40–60 м²)</t>
        </is>
      </c>
      <c r="B14" s="9" t="n">
        <v>20000</v>
      </c>
      <c r="C14" s="9" t="n">
        <v>30000</v>
      </c>
      <c r="D14" s="4" t="n"/>
      <c r="E14" s="4" t="inlineStr">
        <is>
          <t>ТЦ або пішохідна вулиця</t>
        </is>
      </c>
    </row>
    <row r="15">
      <c r="A15" s="4" t="inlineStr">
        <is>
          <t>Зарплати: 2 співробітники по ~25 тис. «білої»</t>
        </is>
      </c>
      <c r="B15" s="9" t="n">
        <v>50000</v>
      </c>
      <c r="C15" s="9" t="n">
        <v>50000</v>
      </c>
      <c r="D15" s="4" t="n"/>
      <c r="E15" s="4" t="inlineStr">
        <is>
          <t>Менеджер + касир</t>
        </is>
      </c>
    </row>
    <row r="16">
      <c r="A16" s="4" t="inlineStr">
        <is>
          <t>Податки на ФОП (ЄСВ + ПДФО + ВЗ)</t>
        </is>
      </c>
      <c r="B16" s="9" t="n">
        <v>12000</v>
      </c>
      <c r="C16" s="9" t="n">
        <v>15000</v>
      </c>
      <c r="D16" s="4" t="n"/>
      <c r="E16" s="4" t="inlineStr">
        <is>
          <t>~22% ЄСВ + 18% ПДФО + 5% ВЗ</t>
        </is>
      </c>
    </row>
    <row r="17">
      <c r="A17" s="4" t="inlineStr">
        <is>
          <t>Комунальні + інтернет</t>
        </is>
      </c>
      <c r="B17" s="9" t="n">
        <v>5000</v>
      </c>
      <c r="C17" s="9" t="n">
        <v>8000</v>
      </c>
      <c r="D17" s="4" t="n"/>
      <c r="E17" s="4" t="n"/>
    </row>
    <row r="18">
      <c r="A18" s="4" t="inlineStr">
        <is>
          <t>Маркетинг / просування</t>
        </is>
      </c>
      <c r="B18" s="9" t="n">
        <v>10000</v>
      </c>
      <c r="C18" s="9" t="n">
        <v>15000</v>
      </c>
      <c r="D18" s="4" t="n"/>
      <c r="E18" s="4" t="inlineStr">
        <is>
          <t>Постійне локальне просування</t>
        </is>
      </c>
    </row>
    <row r="19">
      <c r="A19" s="4" t="inlineStr">
        <is>
          <t>Інші витрати (упаковка, господарські)</t>
        </is>
      </c>
      <c r="B19" s="9" t="n">
        <v>5000</v>
      </c>
      <c r="C19" s="9" t="n">
        <v>10000</v>
      </c>
      <c r="D19" s="4" t="n"/>
      <c r="E19" s="4" t="n"/>
    </row>
    <row r="20">
      <c r="A20" s="4" t="inlineStr">
        <is>
          <t>Підписки ПЗ (ERP/CRM, ПРРО, POS)</t>
        </is>
      </c>
      <c r="B20" s="9" t="n">
        <v>2000</v>
      </c>
      <c r="C20" s="9" t="n">
        <v>4000</v>
      </c>
      <c r="D20" s="4" t="n"/>
      <c r="E20" s="4" t="inlineStr">
        <is>
          <t>Checkbox + CRM + POS</t>
        </is>
      </c>
    </row>
    <row r="21">
      <c r="A21" s="3" t="inlineStr">
        <is>
          <t>РАЗОМ OpEx / міс.</t>
        </is>
      </c>
      <c r="B21" s="10">
        <f>SUM(B14:B20)</f>
        <v/>
      </c>
      <c r="C21" s="10">
        <f>SUM(C14:C20)</f>
        <v/>
      </c>
      <c r="D21" s="3" t="n"/>
      <c r="E21" s="3" t="inlineStr">
        <is>
          <t>Орієнтир: ~104–132 тис. грн/міс.</t>
        </is>
      </c>
    </row>
    <row r="22">
      <c r="A22" s="8" t="inlineStr">
        <is>
          <t>Беззбитковість</t>
        </is>
      </c>
      <c r="B22" s="8" t="n"/>
      <c r="C22" s="8" t="n"/>
      <c r="D22" s="8" t="n"/>
      <c r="E22" s="8" t="n"/>
    </row>
    <row r="23">
      <c r="A23" s="4" t="inlineStr">
        <is>
          <t>Середня націнка (маржа у % виручки)</t>
        </is>
      </c>
      <c r="B23" s="11" t="n">
        <v>0.4</v>
      </c>
      <c r="C23" s="11" t="n">
        <v>0.4</v>
      </c>
      <c r="D23" s="4" t="n"/>
      <c r="E23" s="4" t="inlineStr">
        <is>
          <t>Параметр — можна змінювати</t>
        </is>
      </c>
    </row>
    <row r="24">
      <c r="A24" s="3" t="inlineStr">
        <is>
          <t>Потрібна виручка / міс. (мін. сценарій)</t>
        </is>
      </c>
      <c r="B24" s="10">
        <f>B21/B23</f>
        <v/>
      </c>
      <c r="C24" s="10">
        <f>C21/C23</f>
        <v/>
      </c>
      <c r="D24" s="3" t="n"/>
      <c r="E24" s="3" t="inlineStr">
        <is>
          <t>OpEx ÷ маржа</t>
        </is>
      </c>
    </row>
    <row r="25">
      <c r="A25" s="4" t="inlineStr">
        <is>
          <t>Потрібна виручка / рік</t>
        </is>
      </c>
      <c r="B25" s="9">
        <f>B24*12</f>
        <v/>
      </c>
      <c r="C25" s="9">
        <f>C24*12</f>
        <v/>
      </c>
      <c r="D25" s="4" t="n"/>
      <c r="E25" s="4" t="inlineStr">
        <is>
          <t>~3,1–4,0 млн грн/рік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Помісячний прогноз першого року роботи (P&amp;L), грн — листопад 2026 – жовтень 2027</t>
        </is>
      </c>
    </row>
    <row r="3">
      <c r="A3" s="2" t="inlineStr">
        <is>
          <t>Показник</t>
        </is>
      </c>
      <c r="B3" s="2" t="inlineStr">
        <is>
          <t>Лис 26</t>
        </is>
      </c>
      <c r="C3" s="2" t="inlineStr">
        <is>
          <t>Гру 26</t>
        </is>
      </c>
      <c r="D3" s="2" t="inlineStr">
        <is>
          <t>Січ 27</t>
        </is>
      </c>
      <c r="E3" s="2" t="inlineStr">
        <is>
          <t>Лют 27</t>
        </is>
      </c>
      <c r="F3" s="2" t="inlineStr">
        <is>
          <t>Бер 27</t>
        </is>
      </c>
      <c r="G3" s="2" t="inlineStr">
        <is>
          <t>Кві 27</t>
        </is>
      </c>
      <c r="H3" s="2" t="inlineStr">
        <is>
          <t>Тра 27</t>
        </is>
      </c>
      <c r="I3" s="2" t="inlineStr">
        <is>
          <t>Чер 27</t>
        </is>
      </c>
      <c r="J3" s="2" t="inlineStr">
        <is>
          <t>Лип 27</t>
        </is>
      </c>
      <c r="K3" s="2" t="inlineStr">
        <is>
          <t>Сер 27</t>
        </is>
      </c>
      <c r="L3" s="2" t="inlineStr">
        <is>
          <t>Вер 27</t>
        </is>
      </c>
      <c r="M3" s="2" t="inlineStr">
        <is>
          <t>Жов 27</t>
        </is>
      </c>
      <c r="N3" s="2" t="inlineStr">
        <is>
          <t>Разом рік</t>
        </is>
      </c>
    </row>
    <row r="4">
      <c r="A4" s="3" t="inlineStr">
        <is>
          <t>Виручка</t>
        </is>
      </c>
      <c r="B4" s="12" t="n">
        <v>120000</v>
      </c>
      <c r="C4" s="12" t="n">
        <v>200000</v>
      </c>
      <c r="D4" s="12" t="n">
        <v>150000</v>
      </c>
      <c r="E4" s="12" t="n">
        <v>160000</v>
      </c>
      <c r="F4" s="12" t="n">
        <v>220000</v>
      </c>
      <c r="G4" s="12" t="n">
        <v>260000</v>
      </c>
      <c r="H4" s="12" t="n">
        <v>280000</v>
      </c>
      <c r="I4" s="12" t="n">
        <v>300000</v>
      </c>
      <c r="J4" s="12" t="n">
        <v>290000</v>
      </c>
      <c r="K4" s="12" t="n">
        <v>300000</v>
      </c>
      <c r="L4" s="12" t="n">
        <v>310000</v>
      </c>
      <c r="M4" s="12" t="n">
        <v>320000</v>
      </c>
      <c r="N4" s="12">
        <f>SUM(B4:M4)</f>
        <v/>
      </c>
    </row>
    <row r="5">
      <c r="A5" s="3" t="inlineStr">
        <is>
          <t>Маржа (параметр)</t>
        </is>
      </c>
      <c r="B5" s="13" t="n">
        <v>0.4</v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s="3" t="inlineStr">
        <is>
          <t>Валовий прибуток (виручка × маржа)</t>
        </is>
      </c>
      <c r="B6" s="12">
        <f>B4*$B$5</f>
        <v/>
      </c>
      <c r="C6" s="12">
        <f>C4*$B$5</f>
        <v/>
      </c>
      <c r="D6" s="12">
        <f>D4*$B$5</f>
        <v/>
      </c>
      <c r="E6" s="12">
        <f>E4*$B$5</f>
        <v/>
      </c>
      <c r="F6" s="12">
        <f>F4*$B$5</f>
        <v/>
      </c>
      <c r="G6" s="12">
        <f>G4*$B$5</f>
        <v/>
      </c>
      <c r="H6" s="12">
        <f>H4*$B$5</f>
        <v/>
      </c>
      <c r="I6" s="12">
        <f>I4*$B$5</f>
        <v/>
      </c>
      <c r="J6" s="12">
        <f>J4*$B$5</f>
        <v/>
      </c>
      <c r="K6" s="12">
        <f>K4*$B$5</f>
        <v/>
      </c>
      <c r="L6" s="12">
        <f>L4*$B$5</f>
        <v/>
      </c>
      <c r="M6" s="12">
        <f>M4*$B$5</f>
        <v/>
      </c>
      <c r="N6" s="12">
        <f>SUM(B6:M6)</f>
        <v/>
      </c>
    </row>
    <row r="7">
      <c r="A7" s="3" t="inlineStr">
        <is>
          <t>OpEx (постійні витрати)</t>
        </is>
      </c>
      <c r="B7" s="12" t="n">
        <v>110000</v>
      </c>
      <c r="C7" s="12" t="n">
        <v>110000</v>
      </c>
      <c r="D7" s="12" t="n">
        <v>110000</v>
      </c>
      <c r="E7" s="12" t="n">
        <v>110000</v>
      </c>
      <c r="F7" s="12" t="n">
        <v>110000</v>
      </c>
      <c r="G7" s="12" t="n">
        <v>110000</v>
      </c>
      <c r="H7" s="12" t="n">
        <v>110000</v>
      </c>
      <c r="I7" s="12" t="n">
        <v>110000</v>
      </c>
      <c r="J7" s="12" t="n">
        <v>110000</v>
      </c>
      <c r="K7" s="12" t="n">
        <v>110000</v>
      </c>
      <c r="L7" s="12" t="n">
        <v>110000</v>
      </c>
      <c r="M7" s="12" t="n">
        <v>110000</v>
      </c>
      <c r="N7" s="12">
        <f>SUM(B7:M7)</f>
        <v/>
      </c>
    </row>
    <row r="8">
      <c r="A8" s="3" t="inlineStr">
        <is>
          <t>Операційний прибуток</t>
        </is>
      </c>
      <c r="B8" s="12">
        <f>B6-B7</f>
        <v/>
      </c>
      <c r="C8" s="12">
        <f>C6-C7</f>
        <v/>
      </c>
      <c r="D8" s="12">
        <f>D6-D7</f>
        <v/>
      </c>
      <c r="E8" s="12">
        <f>E6-E7</f>
        <v/>
      </c>
      <c r="F8" s="12">
        <f>F6-F7</f>
        <v/>
      </c>
      <c r="G8" s="12">
        <f>G6-G7</f>
        <v/>
      </c>
      <c r="H8" s="12">
        <f>H6-H7</f>
        <v/>
      </c>
      <c r="I8" s="12">
        <f>I6-I7</f>
        <v/>
      </c>
      <c r="J8" s="12">
        <f>J6-J7</f>
        <v/>
      </c>
      <c r="K8" s="12">
        <f>K6-K7</f>
        <v/>
      </c>
      <c r="L8" s="12">
        <f>L6-L7</f>
        <v/>
      </c>
      <c r="M8" s="12">
        <f>M6-M7</f>
        <v/>
      </c>
      <c r="N8" s="12">
        <f>SUM(B8:M8)</f>
        <v/>
      </c>
    </row>
    <row r="9">
      <c r="A9" s="3" t="inlineStr">
        <is>
          <t>Наростаючий підсумок (cash від операцій)</t>
        </is>
      </c>
      <c r="B9" s="12">
        <f>B8</f>
        <v/>
      </c>
      <c r="C9" s="12">
        <f>B9+C8</f>
        <v/>
      </c>
      <c r="D9" s="12">
        <f>C9+D8</f>
        <v/>
      </c>
      <c r="E9" s="12">
        <f>D9+E8</f>
        <v/>
      </c>
      <c r="F9" s="12">
        <f>E9+F8</f>
        <v/>
      </c>
      <c r="G9" s="12">
        <f>F9+G8</f>
        <v/>
      </c>
      <c r="H9" s="12">
        <f>G9+H8</f>
        <v/>
      </c>
      <c r="I9" s="12">
        <f>H9+I8</f>
        <v/>
      </c>
      <c r="J9" s="12">
        <f>I9+J8</f>
        <v/>
      </c>
      <c r="K9" s="12">
        <f>J9+K8</f>
        <v/>
      </c>
      <c r="L9" s="12">
        <f>K9+L8</f>
        <v/>
      </c>
      <c r="M9" s="12">
        <f>L9+M8</f>
        <v/>
      </c>
      <c r="N9" s="14" t="n"/>
    </row>
    <row r="11" ht="28" customHeight="1">
      <c r="A11" s="6" t="inlineStr">
        <is>
          <t>• Припущення: повільний старт (листопад), грудневий подарунковий пік, січневий спад, зростання навесні (старт футбольного сезону) і стабілізація влітку–восени.</t>
        </is>
      </c>
    </row>
    <row r="12" ht="28" customHeight="1">
      <c r="A12" s="6" t="inlineStr">
        <is>
          <t>• Маржа 40% і OpEx 110 000 грн/міс — параметри (клітинка B5 і рядок 7), можна змінювати — модель перерахується.</t>
        </is>
      </c>
    </row>
    <row r="13" ht="28" customHeight="1">
      <c r="A13" s="6" t="inlineStr">
        <is>
          <t>• Прогноз НЕ враховує повернення інвестиції (CapEx ~580–985 тис. грн) — окупність див. аркуш 7.</t>
        </is>
      </c>
    </row>
    <row r="14" ht="28" customHeight="1">
      <c r="A14" s="6" t="inlineStr">
        <is>
          <t>• Орієнтир: за цим сценарієм операційний беззбиток досягається з ~5-го місяця (березень 2027), річний операційний прибуток ~ +21 тис. грн (перший рік типово близький до нуля).</t>
        </is>
      </c>
    </row>
  </sheetData>
  <mergeCells count="5">
    <mergeCell ref="A12:N12"/>
    <mergeCell ref="A11:N11"/>
    <mergeCell ref="A13:N13"/>
    <mergeCell ref="A14:N14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  <col width="24" customWidth="1" min="5" max="5"/>
    <col width="20" customWidth="1" min="6" max="6"/>
  </cols>
  <sheetData>
    <row r="1">
      <c r="A1" s="1" t="inlineStr">
        <is>
          <t>Сценарії повернення інвестицій</t>
        </is>
      </c>
    </row>
    <row r="3">
      <c r="A3" s="15" t="inlineStr">
        <is>
          <t>СЦЕНАРІЙ А. Позикове фінансування (ануїтет)</t>
        </is>
      </c>
    </row>
    <row r="4">
      <c r="A4" s="3" t="inlineStr">
        <is>
          <t>Сума позики, грн</t>
        </is>
      </c>
      <c r="B4" s="9" t="n">
        <v>600000</v>
      </c>
      <c r="C4" s="4" t="inlineStr"/>
    </row>
    <row r="5">
      <c r="A5" s="3" t="inlineStr">
        <is>
          <t>Ставка, % річних</t>
        </is>
      </c>
      <c r="B5" s="11" t="n">
        <v>0.12</v>
      </c>
      <c r="C5" s="4" t="inlineStr">
        <is>
          <t>Формат %</t>
        </is>
      </c>
    </row>
    <row r="6">
      <c r="A6" s="3" t="inlineStr">
        <is>
          <t>Строк, місяців</t>
        </is>
      </c>
      <c r="B6" s="9" t="n">
        <v>60</v>
      </c>
      <c r="C6" s="4" t="inlineStr">
        <is>
          <t>5 років</t>
        </is>
      </c>
    </row>
    <row r="7">
      <c r="A7" s="3" t="inlineStr">
        <is>
          <t>Щомісячний платіж (PMT), грн</t>
        </is>
      </c>
      <c r="B7" s="9">
        <f>-PMT(B6/12,B7,B5)</f>
        <v/>
      </c>
      <c r="C7" s="4" t="inlineStr">
        <is>
          <t>≈ 13 347 грн/міс.</t>
        </is>
      </c>
    </row>
    <row r="8">
      <c r="A8" s="3" t="inlineStr">
        <is>
          <t>Разом виплат за строк, грн</t>
        </is>
      </c>
      <c r="B8" s="9">
        <f>B8*B7</f>
        <v/>
      </c>
      <c r="C8" s="4" t="inlineStr">
        <is>
          <t>≈ 800 800 грн</t>
        </is>
      </c>
    </row>
    <row r="9">
      <c r="A9" s="3" t="inlineStr">
        <is>
          <t>Переплата (дохід інвестора), грн</t>
        </is>
      </c>
      <c r="B9" s="9">
        <f>B9-B5</f>
        <v/>
      </c>
      <c r="C9" s="4" t="inlineStr">
        <is>
          <t>≈ 200 800 грн за 5 років</t>
        </is>
      </c>
    </row>
    <row r="10" ht="42" customHeight="1">
      <c r="A10" s="16" t="inlineStr">
        <is>
          <t>Важливо: платіж ~13,3 тис. грн/міс. має покриватися операційним прибутком точки. За прогнозом 1-го року (аркуш 6) це навантаження критичне у перші 4–5 місяців — передбачити пільговий період (grace period) 6 місяців на тіло позики.</t>
        </is>
      </c>
    </row>
    <row r="12">
      <c r="A12" s="5" t="inlineStr">
        <is>
          <t>Графік погашення за роками (ануїтет 60 міс.)</t>
        </is>
      </c>
    </row>
    <row r="13">
      <c r="A13" s="2" t="inlineStr">
        <is>
          <t>Рік</t>
        </is>
      </c>
      <c r="B13" s="2" t="inlineStr">
        <is>
          <t>Виплачено за рік, грн</t>
        </is>
      </c>
      <c r="C13" s="2" t="inlineStr">
        <is>
          <t>З них тіло, грн</t>
        </is>
      </c>
      <c r="D13" s="2" t="inlineStr">
        <is>
          <t>З них відсотки, грн</t>
        </is>
      </c>
      <c r="E13" s="2" t="inlineStr">
        <is>
          <t>Залишок боргу на кінець року, грн</t>
        </is>
      </c>
    </row>
    <row r="14">
      <c r="A14" s="14" t="inlineStr">
        <is>
          <t>Рік 1</t>
        </is>
      </c>
      <c r="B14" s="12" t="n">
        <v>160160</v>
      </c>
      <c r="C14" s="12" t="n">
        <v>93174</v>
      </c>
      <c r="D14" s="12" t="n">
        <v>66986</v>
      </c>
      <c r="E14" s="12" t="n">
        <v>506826</v>
      </c>
    </row>
    <row r="15">
      <c r="A15" s="14" t="inlineStr">
        <is>
          <t>Рік 2</t>
        </is>
      </c>
      <c r="B15" s="12" t="n">
        <v>160160</v>
      </c>
      <c r="C15" s="12" t="n">
        <v>104991</v>
      </c>
      <c r="D15" s="12" t="n">
        <v>55169</v>
      </c>
      <c r="E15" s="12" t="n">
        <v>401835</v>
      </c>
    </row>
    <row r="16">
      <c r="A16" s="14" t="inlineStr">
        <is>
          <t>Рік 3</t>
        </is>
      </c>
      <c r="B16" s="12" t="n">
        <v>160160</v>
      </c>
      <c r="C16" s="12" t="n">
        <v>118306</v>
      </c>
      <c r="D16" s="12" t="n">
        <v>41854</v>
      </c>
      <c r="E16" s="12" t="n">
        <v>283528</v>
      </c>
    </row>
    <row r="17">
      <c r="A17" s="14" t="inlineStr">
        <is>
          <t>Рік 4</t>
        </is>
      </c>
      <c r="B17" s="12" t="n">
        <v>160160</v>
      </c>
      <c r="C17" s="12" t="n">
        <v>133311</v>
      </c>
      <c r="D17" s="12" t="n">
        <v>26849</v>
      </c>
      <c r="E17" s="12" t="n">
        <v>150218</v>
      </c>
    </row>
    <row r="18">
      <c r="A18" s="14" t="inlineStr">
        <is>
          <t>Рік 5</t>
        </is>
      </c>
      <c r="B18" s="12" t="n">
        <v>160160</v>
      </c>
      <c r="C18" s="12" t="n">
        <v>150218</v>
      </c>
      <c r="D18" s="12" t="n">
        <v>9942</v>
      </c>
      <c r="E18" s="12" t="n">
        <v>0</v>
      </c>
    </row>
    <row r="20">
      <c r="A20" s="15" t="inlineStr">
        <is>
          <t>СЦЕНАРІЙ Б. Частка від прибутку (profit-share)</t>
        </is>
      </c>
    </row>
    <row r="21">
      <c r="A21" s="3" t="inlineStr">
        <is>
          <t>Інвестиція, грн</t>
        </is>
      </c>
      <c r="B21" s="9" t="n">
        <v>600000</v>
      </c>
      <c r="C21" s="4" t="inlineStr"/>
    </row>
    <row r="22">
      <c r="A22" s="3" t="inlineStr">
        <is>
          <t>Частка інвестора у чистому прибутку</t>
        </is>
      </c>
      <c r="B22" s="11" t="n">
        <v>0.3</v>
      </c>
      <c r="C22" s="4" t="inlineStr">
        <is>
          <t>Формат %</t>
        </is>
      </c>
    </row>
    <row r="23">
      <c r="A23" s="3" t="inlineStr">
        <is>
          <t>Чистий прибуток точки, грн/рік (припущення)</t>
        </is>
      </c>
      <c r="B23" s="9" t="n">
        <v>240000</v>
      </c>
      <c r="C23" s="4" t="inlineStr">
        <is>
          <t>Зрілий режим, з 2-го року</t>
        </is>
      </c>
    </row>
    <row r="24">
      <c r="A24" s="3" t="inlineStr">
        <is>
          <t>Дохід інвестора, грн/рік</t>
        </is>
      </c>
      <c r="B24" s="9">
        <f>B22*B23</f>
        <v/>
      </c>
      <c r="C24" s="4" t="inlineStr">
        <is>
          <t>≈ 72 000 грн/рік</t>
        </is>
      </c>
    </row>
    <row r="25">
      <c r="A25" s="3" t="inlineStr">
        <is>
          <t>Простий строк повернення, років</t>
        </is>
      </c>
      <c r="B25" s="17">
        <f>B21/B24</f>
        <v/>
      </c>
      <c r="C25" s="4" t="inlineStr">
        <is>
          <t>≈ 8,3 року</t>
        </is>
      </c>
    </row>
    <row r="26" ht="40" customHeight="1">
      <c r="A26" s="16" t="inlineStr">
        <is>
          <t>Висновок: profit-share 30% за прибутку 240 тис./рік повертає інвестицію ~8–10 років — повільно. Для привабливості або підвищити частку на перші роки (напр., 50% до повернення тіла), або комбінувати з позикою.</t>
        </is>
      </c>
    </row>
    <row r="28">
      <c r="A28" s="15" t="inlineStr">
        <is>
          <t>СЦЕНАРІЙ В. Конвертація позики в частку нового ТОВ</t>
        </is>
      </c>
    </row>
    <row r="29" ht="30" customHeight="1">
      <c r="A29" s="3" t="inlineStr">
        <is>
          <t>Механізм</t>
        </is>
      </c>
      <c r="B29" s="4" t="inlineStr">
        <is>
          <t>Позика 600 тис. грн конвертується у 20–30% частки нового ТОВ при досягненні цільового EBIT (напр., 500 тис. грн/рік) або через 2–3 роки за оцінкою.</t>
        </is>
      </c>
      <c r="C29" s="4" t="n"/>
      <c r="D29" s="4" t="n"/>
      <c r="E29" s="4" t="n"/>
      <c r="F29" s="4" t="n"/>
    </row>
    <row r="30" ht="30" customHeight="1">
      <c r="A30" s="3" t="inlineStr">
        <is>
          <t>Оцінка для конвертації</t>
        </is>
      </c>
      <c r="B30" s="4" t="inlineStr">
        <is>
          <t>Мультиплікатор до EBITDA (типово 3–5× для малого роздробу) або фіксована pre-money оцінка, узгоджена в term-sheet.</t>
        </is>
      </c>
      <c r="C30" s="4" t="n"/>
      <c r="D30" s="4" t="n"/>
      <c r="E30" s="4" t="n"/>
      <c r="F30" s="4" t="n"/>
    </row>
    <row r="31" ht="30" customHeight="1">
      <c r="A31" s="3" t="inlineStr">
        <is>
          <t>Приклад</t>
        </is>
      </c>
      <c r="B31" s="4" t="inlineStr">
        <is>
          <t>EBITDA 400 тис. грн/рік × 4 = оцінка 1,6 млн грн → позика 600 тис. ≈ 27% частки нового ТОВ (тільки офлайн-компанії).</t>
        </is>
      </c>
      <c r="C31" s="4" t="n"/>
      <c r="D31" s="4" t="n"/>
      <c r="E31" s="4" t="n"/>
      <c r="F31" s="4" t="n"/>
    </row>
    <row r="32" ht="30" customHeight="1">
      <c r="A32" s="3" t="inlineStr">
        <is>
          <t>ROI інвестора</t>
        </is>
      </c>
      <c r="B32" s="4" t="inlineStr">
        <is>
          <t>Залежить від зростання вартості точки і дивідендів після конвертації; потенційно вищий за сценарії А і Б, але з вищим ризиком.</t>
        </is>
      </c>
      <c r="C32" s="4" t="n"/>
      <c r="D32" s="4" t="n"/>
      <c r="E32" s="4" t="n"/>
      <c r="F32" s="4" t="n"/>
    </row>
    <row r="33" ht="30" customHeight="1">
      <c r="A33" s="3" t="inlineStr">
        <is>
          <t>Захист власника</t>
        </is>
      </c>
      <c r="B33" s="4" t="inlineStr">
        <is>
          <t>Конвертація стосується ЛИШЕ нового ТОВ; онлайн-бізнес, сайт і ТМ — поза периметром угоди (окремий пункт договору).</t>
        </is>
      </c>
      <c r="C33" s="4" t="n"/>
      <c r="D33" s="4" t="n"/>
      <c r="E33" s="4" t="n"/>
      <c r="F33" s="4" t="n"/>
    </row>
  </sheetData>
  <mergeCells count="8">
    <mergeCell ref="B30:F30"/>
    <mergeCell ref="B29:F29"/>
    <mergeCell ref="A10:F10"/>
    <mergeCell ref="B32:F32"/>
    <mergeCell ref="B33:F33"/>
    <mergeCell ref="A1:F1"/>
    <mergeCell ref="B31:F31"/>
    <mergeCell ref="A26:F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6" customWidth="1" min="3" max="3"/>
    <col width="11" customWidth="1" min="4" max="4"/>
    <col width="11" customWidth="1" min="5" max="5"/>
    <col width="12" customWidth="1" min="6" max="6"/>
    <col width="12" customWidth="1" min="7" max="7"/>
  </cols>
  <sheetData>
    <row r="1">
      <c r="A1" s="1" t="inlineStr">
        <is>
          <t>Дорожня карта 2026 (повна деталізація — у файлі Діаграма_Ганта.xlsx)</t>
        </is>
      </c>
    </row>
    <row r="3">
      <c r="A3" s="2" t="inlineStr">
        <is>
          <t>№</t>
        </is>
      </c>
      <c r="B3" s="2" t="inlineStr">
        <is>
          <t>Етап</t>
        </is>
      </c>
      <c r="C3" s="2" t="inlineStr">
        <is>
          <t>Завдання</t>
        </is>
      </c>
      <c r="D3" s="2" t="inlineStr">
        <is>
          <t>Початок</t>
        </is>
      </c>
      <c r="E3" s="2" t="inlineStr">
        <is>
          <t>Кінець</t>
        </is>
      </c>
      <c r="F3" s="2" t="inlineStr">
        <is>
          <t>Статус</t>
        </is>
      </c>
      <c r="G3" s="2" t="inlineStr">
        <is>
          <t>Бюджет, грн</t>
        </is>
      </c>
    </row>
    <row r="4">
      <c r="A4" s="4" t="n">
        <v>1</v>
      </c>
      <c r="B4" s="4" t="inlineStr">
        <is>
          <t>Підготовчий етап</t>
        </is>
      </c>
      <c r="C4" s="4" t="inlineStr">
        <is>
          <t>Аналіз конкурентів і ринку футбольних товарів</t>
        </is>
      </c>
      <c r="D4" s="4" t="inlineStr">
        <is>
          <t>01.06.2026</t>
        </is>
      </c>
      <c r="E4" s="4" t="inlineStr">
        <is>
          <t>15.06.2026</t>
        </is>
      </c>
      <c r="F4" s="4" t="inlineStr">
        <is>
          <t>Виконано</t>
        </is>
      </c>
      <c r="G4" s="9" t="n">
        <v>0</v>
      </c>
    </row>
    <row r="5">
      <c r="A5" s="4" t="n">
        <v>2</v>
      </c>
      <c r="B5" s="4" t="inlineStr">
        <is>
          <t>Підготовчий етап</t>
        </is>
      </c>
      <c r="C5" s="4" t="inlineStr">
        <is>
          <t>Визначення ЦА та концепції магазину</t>
        </is>
      </c>
      <c r="D5" s="4" t="inlineStr">
        <is>
          <t>01.06.2026</t>
        </is>
      </c>
      <c r="E5" s="4" t="inlineStr">
        <is>
          <t>20.06.2026</t>
        </is>
      </c>
      <c r="F5" s="4" t="inlineStr">
        <is>
          <t>Виконано</t>
        </is>
      </c>
      <c r="G5" s="9" t="n">
        <v>0</v>
      </c>
    </row>
    <row r="6">
      <c r="A6" s="4" t="n">
        <v>3</v>
      </c>
      <c r="B6" s="4" t="inlineStr">
        <is>
          <t>Підготовчий етап</t>
        </is>
      </c>
      <c r="C6" s="4" t="inlineStr">
        <is>
          <t>Розробка фінансової моделі (CapEx/OpEx, окупність)</t>
        </is>
      </c>
      <c r="D6" s="4" t="inlineStr">
        <is>
          <t>10.06.2026</t>
        </is>
      </c>
      <c r="E6" s="4" t="inlineStr">
        <is>
          <t>30.06.2026</t>
        </is>
      </c>
      <c r="F6" s="4" t="inlineStr">
        <is>
          <t>Виконано</t>
        </is>
      </c>
      <c r="G6" s="9" t="n">
        <v>0</v>
      </c>
    </row>
    <row r="7">
      <c r="A7" s="4" t="n">
        <v>4</v>
      </c>
      <c r="B7" s="4" t="inlineStr">
        <is>
          <t>Підготовчий етап</t>
        </is>
      </c>
      <c r="C7" s="4" t="inlineStr">
        <is>
          <t>Переговори з інвестором, узгодження term-sheet</t>
        </is>
      </c>
      <c r="D7" s="4" t="inlineStr">
        <is>
          <t>15.06.2026</t>
        </is>
      </c>
      <c r="E7" s="4" t="inlineStr">
        <is>
          <t>15.07.2026</t>
        </is>
      </c>
      <c r="F7" s="4" t="inlineStr">
        <is>
          <t>У роботі</t>
        </is>
      </c>
      <c r="G7" s="9" t="n">
        <v>15000</v>
      </c>
    </row>
    <row r="8">
      <c r="A8" s="4" t="n">
        <v>5</v>
      </c>
      <c r="B8" s="4" t="inlineStr">
        <is>
          <t>Підготовчий етап</t>
        </is>
      </c>
      <c r="C8" s="4" t="inlineStr">
        <is>
          <t>Пошук приміщень 40–60 м² (ТЦ / пішохідна вулиця)</t>
        </is>
      </c>
      <c r="D8" s="4" t="inlineStr">
        <is>
          <t>01.06.2026</t>
        </is>
      </c>
      <c r="E8" s="4" t="inlineStr">
        <is>
          <t>01.07.2026</t>
        </is>
      </c>
      <c r="F8" s="4" t="inlineStr">
        <is>
          <t>Виконано</t>
        </is>
      </c>
      <c r="G8" s="9" t="n">
        <v>0</v>
      </c>
    </row>
    <row r="9">
      <c r="A9" s="4" t="n">
        <v>6</v>
      </c>
      <c r="B9" s="4" t="inlineStr">
        <is>
          <t>Підготовчий етап</t>
        </is>
      </c>
      <c r="C9" s="4" t="inlineStr">
        <is>
          <t>Огляд локацій, аналіз пішохідного трафіку</t>
        </is>
      </c>
      <c r="D9" s="4" t="inlineStr">
        <is>
          <t>15.06.2026</t>
        </is>
      </c>
      <c r="E9" s="4" t="inlineStr">
        <is>
          <t>05.07.2026</t>
        </is>
      </c>
      <c r="F9" s="4" t="inlineStr">
        <is>
          <t>Виконано</t>
        </is>
      </c>
      <c r="G9" s="9" t="n">
        <v>0</v>
      </c>
    </row>
    <row r="10">
      <c r="A10" s="4" t="n">
        <v>7</v>
      </c>
      <c r="B10" s="4" t="inlineStr">
        <is>
          <t>Підготовчий етап</t>
        </is>
      </c>
      <c r="C10" s="4" t="inlineStr">
        <is>
          <t>Юридична перевірка договору оренди</t>
        </is>
      </c>
      <c r="D10" s="4" t="inlineStr">
        <is>
          <t>01.07.2026</t>
        </is>
      </c>
      <c r="E10" s="4" t="inlineStr">
        <is>
          <t>10.07.2026</t>
        </is>
      </c>
      <c r="F10" s="4" t="inlineStr">
        <is>
          <t>У роботі</t>
        </is>
      </c>
      <c r="G10" s="9" t="n">
        <v>10000</v>
      </c>
    </row>
    <row r="11">
      <c r="A11" s="4" t="n">
        <v>8</v>
      </c>
      <c r="B11" s="4" t="inlineStr">
        <is>
          <t>Підготовчий етап</t>
        </is>
      </c>
      <c r="C11" s="4" t="inlineStr">
        <is>
          <t>Підписання договору оренди</t>
        </is>
      </c>
      <c r="D11" s="4" t="inlineStr">
        <is>
          <t>10.07.2026</t>
        </is>
      </c>
      <c r="E11" s="4" t="inlineStr">
        <is>
          <t>15.07.2026</t>
        </is>
      </c>
      <c r="F11" s="4" t="inlineStr">
        <is>
          <t>Заплановано</t>
        </is>
      </c>
      <c r="G11" s="9" t="n">
        <v>50000</v>
      </c>
    </row>
    <row r="12">
      <c r="A12" s="4" t="n">
        <v>9</v>
      </c>
      <c r="B12" s="4" t="inlineStr">
        <is>
          <t>Юридичне оформлення</t>
        </is>
      </c>
      <c r="C12" s="4" t="inlineStr">
        <is>
          <t>Реєстрація нового ТОВ (SPV) для офлайн-точки</t>
        </is>
      </c>
      <c r="D12" s="4" t="inlineStr">
        <is>
          <t>01.08.2026</t>
        </is>
      </c>
      <c r="E12" s="4" t="inlineStr">
        <is>
          <t>15.08.2026</t>
        </is>
      </c>
      <c r="F12" s="4" t="inlineStr">
        <is>
          <t>Заплановано</t>
        </is>
      </c>
      <c r="G12" s="9" t="n">
        <v>10000</v>
      </c>
    </row>
    <row r="13">
      <c r="A13" s="4" t="n">
        <v>10</v>
      </c>
      <c r="B13" s="4" t="inlineStr">
        <is>
          <t>Юридичне оформлення</t>
        </is>
      </c>
      <c r="C13" s="4" t="inlineStr">
        <is>
          <t>Відкриття банківського рахунку, еквайринг</t>
        </is>
      </c>
      <c r="D13" s="4" t="inlineStr">
        <is>
          <t>15.08.2026</t>
        </is>
      </c>
      <c r="E13" s="4" t="inlineStr">
        <is>
          <t>25.08.2026</t>
        </is>
      </c>
      <c r="F13" s="4" t="inlineStr">
        <is>
          <t>Заплановано</t>
        </is>
      </c>
      <c r="G13" s="9" t="n">
        <v>0</v>
      </c>
    </row>
    <row r="14">
      <c r="A14" s="4" t="n">
        <v>11</v>
      </c>
      <c r="B14" s="4" t="inlineStr">
        <is>
          <t>Юридичне оформлення</t>
        </is>
      </c>
      <c r="C14" s="4" t="inlineStr">
        <is>
          <t>Підписання інвестиційного договору (позика/SPV)</t>
        </is>
      </c>
      <c r="D14" s="4" t="inlineStr">
        <is>
          <t>01.08.2026</t>
        </is>
      </c>
      <c r="E14" s="4" t="inlineStr">
        <is>
          <t>31.08.2026</t>
        </is>
      </c>
      <c r="F14" s="4" t="inlineStr">
        <is>
          <t>Заплановано</t>
        </is>
      </c>
      <c r="G14" s="9" t="n">
        <v>20000</v>
      </c>
    </row>
    <row r="15">
      <c r="A15" s="4" t="n">
        <v>12</v>
      </c>
      <c r="B15" s="4" t="inlineStr">
        <is>
          <t>Підготовка магазину</t>
        </is>
      </c>
      <c r="C15" s="4" t="inlineStr">
        <is>
          <t>Дизайн-проєкт торгового залу та фасаду</t>
        </is>
      </c>
      <c r="D15" s="4" t="inlineStr">
        <is>
          <t>15.07.2026</t>
        </is>
      </c>
      <c r="E15" s="4" t="inlineStr">
        <is>
          <t>01.08.2026</t>
        </is>
      </c>
      <c r="F15" s="4" t="inlineStr">
        <is>
          <t>Заплановано</t>
        </is>
      </c>
      <c r="G15" s="9" t="n">
        <v>25000</v>
      </c>
    </row>
    <row r="16">
      <c r="A16" s="4" t="n">
        <v>13</v>
      </c>
      <c r="B16" s="4" t="inlineStr">
        <is>
          <t>Підготовка магазину</t>
        </is>
      </c>
      <c r="C16" s="4" t="inlineStr">
        <is>
          <t>Ремонтні роботи у приміщенні</t>
        </is>
      </c>
      <c r="D16" s="4" t="inlineStr">
        <is>
          <t>01.08.2026</t>
        </is>
      </c>
      <c r="E16" s="4" t="inlineStr">
        <is>
          <t>15.09.2026</t>
        </is>
      </c>
      <c r="F16" s="4" t="inlineStr">
        <is>
          <t>Заплановано</t>
        </is>
      </c>
      <c r="G16" s="9" t="n">
        <v>150000</v>
      </c>
    </row>
    <row r="17">
      <c r="A17" s="4" t="n">
        <v>14</v>
      </c>
      <c r="B17" s="4" t="inlineStr">
        <is>
          <t>Підготовка магазину</t>
        </is>
      </c>
      <c r="C17" s="4" t="inlineStr">
        <is>
          <t>Виготовлення/монтаж стелажів, вивіски, освітлення</t>
        </is>
      </c>
      <c r="D17" s="4" t="inlineStr">
        <is>
          <t>01.09.2026</t>
        </is>
      </c>
      <c r="E17" s="4" t="inlineStr">
        <is>
          <t>30.09.2026</t>
        </is>
      </c>
      <c r="F17" s="4" t="inlineStr">
        <is>
          <t>Заплановано</t>
        </is>
      </c>
      <c r="G17" s="9" t="n">
        <v>50000</v>
      </c>
    </row>
    <row r="18">
      <c r="A18" s="4" t="n">
        <v>15</v>
      </c>
      <c r="B18" s="4" t="inlineStr">
        <is>
          <t>Підготовка магазину</t>
        </is>
      </c>
      <c r="C18" s="4" t="inlineStr">
        <is>
          <t>Договори з постачальниками (Nike, Adidas, Joma та ін.)</t>
        </is>
      </c>
      <c r="D18" s="4" t="inlineStr">
        <is>
          <t>01.08.2026</t>
        </is>
      </c>
      <c r="E18" s="4" t="inlineStr">
        <is>
          <t>01.09.2026</t>
        </is>
      </c>
      <c r="F18" s="4" t="inlineStr">
        <is>
          <t>Заплановано</t>
        </is>
      </c>
      <c r="G18" s="9" t="n">
        <v>0</v>
      </c>
    </row>
    <row r="19">
      <c r="A19" s="4" t="n">
        <v>16</v>
      </c>
      <c r="B19" s="4" t="inlineStr">
        <is>
          <t>Підготовка магазину</t>
        </is>
      </c>
      <c r="C19" s="4" t="inlineStr">
        <is>
          <t>Закупівля торгового обладнання і каси</t>
        </is>
      </c>
      <c r="D19" s="4" t="inlineStr">
        <is>
          <t>01.09.2026</t>
        </is>
      </c>
      <c r="E19" s="4" t="inlineStr">
        <is>
          <t>20.09.2026</t>
        </is>
      </c>
      <c r="F19" s="4" t="inlineStr">
        <is>
          <t>Заплановано</t>
        </is>
      </c>
      <c r="G19" s="9" t="n">
        <v>50000</v>
      </c>
    </row>
    <row r="20">
      <c r="A20" s="4" t="n">
        <v>17</v>
      </c>
      <c r="B20" s="4" t="inlineStr">
        <is>
          <t>Підготовка магазину</t>
        </is>
      </c>
      <c r="C20" s="4" t="inlineStr">
        <is>
          <t>Закупівля початкового товарного запасу</t>
        </is>
      </c>
      <c r="D20" s="4" t="inlineStr">
        <is>
          <t>15.09.2026</t>
        </is>
      </c>
      <c r="E20" s="4" t="inlineStr">
        <is>
          <t>15.10.2026</t>
        </is>
      </c>
      <c r="F20" s="4" t="inlineStr">
        <is>
          <t>Заплановано</t>
        </is>
      </c>
      <c r="G20" s="9" t="n">
        <v>300000</v>
      </c>
    </row>
    <row r="21">
      <c r="A21" s="4" t="n">
        <v>18</v>
      </c>
      <c r="B21" s="4" t="inlineStr">
        <is>
          <t>ІТ та інтеграції</t>
        </is>
      </c>
      <c r="C21" s="4" t="inlineStr">
        <is>
          <t>Вибір і впровадження ERP/CRM (Dilovod/Odoo/KeyCRM)</t>
        </is>
      </c>
      <c r="D21" s="4" t="inlineStr">
        <is>
          <t>01.09.2026</t>
        </is>
      </c>
      <c r="E21" s="4" t="inlineStr">
        <is>
          <t>01.10.2026</t>
        </is>
      </c>
      <c r="F21" s="4" t="inlineStr">
        <is>
          <t>Заплановано</t>
        </is>
      </c>
      <c r="G21" s="9" t="n">
        <v>20000</v>
      </c>
    </row>
    <row r="22">
      <c r="A22" s="4" t="n">
        <v>19</v>
      </c>
      <c r="B22" s="4" t="inlineStr">
        <is>
          <t>ІТ та інтеграції</t>
        </is>
      </c>
      <c r="C22" s="4" t="inlineStr">
        <is>
          <t>Реєстрація і налаштування ПРРО (Checkbox)</t>
        </is>
      </c>
      <c r="D22" s="4" t="inlineStr">
        <is>
          <t>15.09.2026</t>
        </is>
      </c>
      <c r="E22" s="4" t="inlineStr">
        <is>
          <t>01.10.2026</t>
        </is>
      </c>
      <c r="F22" s="4" t="inlineStr">
        <is>
          <t>Заплановано</t>
        </is>
      </c>
      <c r="G22" s="9" t="n">
        <v>3000</v>
      </c>
    </row>
    <row r="23">
      <c r="A23" s="4" t="n">
        <v>20</v>
      </c>
      <c r="B23" s="4" t="inlineStr">
        <is>
          <t>ІТ та інтеграції</t>
        </is>
      </c>
      <c r="C23" s="4" t="inlineStr">
        <is>
          <t>Інтеграція сайту з обліком залишків (API)</t>
        </is>
      </c>
      <c r="D23" s="4" t="inlineStr">
        <is>
          <t>15.09.2026</t>
        </is>
      </c>
      <c r="E23" s="4" t="inlineStr">
        <is>
          <t>31.10.2026</t>
        </is>
      </c>
      <c r="F23" s="4" t="inlineStr">
        <is>
          <t>Заплановано</t>
        </is>
      </c>
      <c r="G23" s="9" t="n">
        <v>40000</v>
      </c>
    </row>
    <row r="24">
      <c r="A24" s="4" t="n">
        <v>21</v>
      </c>
      <c r="B24" s="4" t="inlineStr">
        <is>
          <t>ІТ та інтеграції</t>
        </is>
      </c>
      <c r="C24" s="4" t="inlineStr">
        <is>
          <t>Налаштування єдиної бонусної програми</t>
        </is>
      </c>
      <c r="D24" s="4" t="inlineStr">
        <is>
          <t>01.10.2026</t>
        </is>
      </c>
      <c r="E24" s="4" t="inlineStr">
        <is>
          <t>31.10.2026</t>
        </is>
      </c>
      <c r="F24" s="4" t="inlineStr">
        <is>
          <t>Заплановано</t>
        </is>
      </c>
      <c r="G24" s="9" t="n">
        <v>15000</v>
      </c>
    </row>
    <row r="25">
      <c r="A25" s="4" t="n">
        <v>22</v>
      </c>
      <c r="B25" s="4" t="inlineStr">
        <is>
          <t>Персонал</t>
        </is>
      </c>
      <c r="C25" s="4" t="inlineStr">
        <is>
          <t>Публікація вакансій, співбесіди (2 продавці)</t>
        </is>
      </c>
      <c r="D25" s="4" t="inlineStr">
        <is>
          <t>01.10.2026</t>
        </is>
      </c>
      <c r="E25" s="4" t="inlineStr">
        <is>
          <t>15.10.2026</t>
        </is>
      </c>
      <c r="F25" s="4" t="inlineStr">
        <is>
          <t>Заплановано</t>
        </is>
      </c>
      <c r="G25" s="9" t="n">
        <v>3000</v>
      </c>
    </row>
    <row r="26">
      <c r="A26" s="4" t="n">
        <v>23</v>
      </c>
      <c r="B26" s="4" t="inlineStr">
        <is>
          <t>Персонал</t>
        </is>
      </c>
      <c r="C26" s="4" t="inlineStr">
        <is>
          <t>Навчання персоналу (товар, каса, сервіс)</t>
        </is>
      </c>
      <c r="D26" s="4" t="inlineStr">
        <is>
          <t>15.10.2026</t>
        </is>
      </c>
      <c r="E26" s="4" t="inlineStr">
        <is>
          <t>01.11.2026</t>
        </is>
      </c>
      <c r="F26" s="4" t="inlineStr">
        <is>
          <t>Заплановано</t>
        </is>
      </c>
      <c r="G26" s="9" t="n">
        <v>5000</v>
      </c>
    </row>
    <row r="27">
      <c r="A27" s="4" t="n">
        <v>24</v>
      </c>
      <c r="B27" s="4" t="inlineStr">
        <is>
          <t>Запуск</t>
        </is>
      </c>
      <c r="C27" s="4" t="inlineStr">
        <is>
          <t>Мерчандайзинг, викладка товару</t>
        </is>
      </c>
      <c r="D27" s="4" t="inlineStr">
        <is>
          <t>25.10.2026</t>
        </is>
      </c>
      <c r="E27" s="4" t="inlineStr">
        <is>
          <t>05.11.2026</t>
        </is>
      </c>
      <c r="F27" s="4" t="inlineStr">
        <is>
          <t>Заплановано</t>
        </is>
      </c>
      <c r="G27" s="9" t="n">
        <v>0</v>
      </c>
    </row>
    <row r="28">
      <c r="A28" s="4" t="n">
        <v>25</v>
      </c>
      <c r="B28" s="4" t="inlineStr">
        <is>
          <t>Запуск</t>
        </is>
      </c>
      <c r="C28" s="4" t="inlineStr">
        <is>
          <t>Рекламна кампанія до відкриття (SMM, локальна реклама)</t>
        </is>
      </c>
      <c r="D28" s="4" t="inlineStr">
        <is>
          <t>20.10.2026</t>
        </is>
      </c>
      <c r="E28" s="4" t="inlineStr">
        <is>
          <t>15.11.2026</t>
        </is>
      </c>
      <c r="F28" s="4" t="inlineStr">
        <is>
          <t>Заплановано</t>
        </is>
      </c>
      <c r="G28" s="9" t="n">
        <v>30000</v>
      </c>
    </row>
    <row r="29">
      <c r="A29" s="4" t="n">
        <v>26</v>
      </c>
      <c r="B29" s="4" t="inlineStr">
        <is>
          <t>Запуск</t>
        </is>
      </c>
      <c r="C29" s="4" t="inlineStr">
        <is>
          <t>Тестовий запуск (soft opening)</t>
        </is>
      </c>
      <c r="D29" s="4" t="inlineStr">
        <is>
          <t>01.11.2026</t>
        </is>
      </c>
      <c r="E29" s="4" t="inlineStr">
        <is>
          <t>14.11.2026</t>
        </is>
      </c>
      <c r="F29" s="4" t="inlineStr">
        <is>
          <t>Заплановано</t>
        </is>
      </c>
      <c r="G29" s="9" t="n">
        <v>0</v>
      </c>
    </row>
    <row r="30">
      <c r="A30" s="18" t="n">
        <v>27</v>
      </c>
      <c r="B30" s="18" t="inlineStr">
        <is>
          <t>Запуск</t>
        </is>
      </c>
      <c r="C30" s="18" t="inlineStr">
        <is>
          <t>УРОЧИСТЕ ВІДКРИТТЯ МАГАЗИНУ</t>
        </is>
      </c>
      <c r="D30" s="18" t="inlineStr">
        <is>
          <t>15.11.2026</t>
        </is>
      </c>
      <c r="E30" s="18" t="inlineStr">
        <is>
          <t>15.11.2026</t>
        </is>
      </c>
      <c r="F30" s="18" t="inlineStr">
        <is>
          <t>ВІХА</t>
        </is>
      </c>
      <c r="G30" s="19" t="n">
        <v>10000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2" customWidth="1" min="4" max="4"/>
    <col width="12" customWidth="1" min="5" max="5"/>
    <col width="12" customWidth="1" min="6" max="6"/>
    <col width="56" customWidth="1" min="7" max="7"/>
  </cols>
  <sheetData>
    <row r="1">
      <c r="A1" s="1" t="inlineStr">
        <is>
          <t>Реєстр ризиків проєкту з оцінкою та заходами мінімізації</t>
        </is>
      </c>
    </row>
    <row r="3">
      <c r="A3" s="2" t="inlineStr">
        <is>
          <t>№</t>
        </is>
      </c>
      <c r="B3" s="2" t="inlineStr">
        <is>
          <t>Категорія</t>
        </is>
      </c>
      <c r="C3" s="2" t="inlineStr">
        <is>
          <t>Ризик</t>
        </is>
      </c>
      <c r="D3" s="2" t="inlineStr">
        <is>
          <t>Ймовірність</t>
        </is>
      </c>
      <c r="E3" s="2" t="inlineStr">
        <is>
          <t>Вплив</t>
        </is>
      </c>
      <c r="F3" s="2" t="inlineStr">
        <is>
          <t>Рівень</t>
        </is>
      </c>
      <c r="G3" s="2" t="inlineStr">
        <is>
          <t>Заходи мінімізації</t>
        </is>
      </c>
    </row>
    <row r="4">
      <c r="A4" s="4" t="inlineStr">
        <is>
          <t>Р1</t>
        </is>
      </c>
      <c r="B4" s="4" t="inlineStr">
        <is>
          <t>Ринковий</t>
        </is>
      </c>
      <c r="C4" s="4" t="inlineStr">
        <is>
          <t>Висока конкуренція: мережеві гравці (Soccer-Shop, Rabona) і маркетплейси відтягують клієнтів</t>
        </is>
      </c>
      <c r="D4" s="4" t="inlineStr">
        <is>
          <t>Висока</t>
        </is>
      </c>
      <c r="E4" s="4" t="inlineStr">
        <is>
          <t>Середній</t>
        </is>
      </c>
      <c r="F4" s="4" t="inlineStr">
        <is>
          <t>Високий</t>
        </is>
      </c>
      <c r="G4" s="4" t="inlineStr">
        <is>
          <t>Диференціація: фан-зона, командне екіпірування, друк; регулярний моніторинг цін і акцій конкурентів; програма лояльності</t>
        </is>
      </c>
    </row>
    <row r="5">
      <c r="A5" s="4" t="inlineStr">
        <is>
          <t>Р2</t>
        </is>
      </c>
      <c r="B5" s="4" t="inlineStr">
        <is>
          <t>Ринковий</t>
        </is>
      </c>
      <c r="C5" s="4" t="inlineStr">
        <is>
          <t>Зміна попиту / падіння купівельної спроможності</t>
        </is>
      </c>
      <c r="D5" s="4" t="inlineStr">
        <is>
          <t>Середня</t>
        </is>
      </c>
      <c r="E5" s="4" t="inlineStr">
        <is>
          <t>Високий</t>
        </is>
      </c>
      <c r="F5" s="4" t="inlineStr">
        <is>
          <t>Високий</t>
        </is>
      </c>
      <c r="G5" s="4" t="inlineStr">
        <is>
          <t>Гнучкий асортимент: економ + середній сегмент; аналіз попиту до закупівель (аналітика, опитування ЦА)</t>
        </is>
      </c>
    </row>
    <row r="6">
      <c r="A6" s="4" t="inlineStr">
        <is>
          <t>Р3</t>
        </is>
      </c>
      <c r="B6" s="4" t="inlineStr">
        <is>
          <t>Операційний</t>
        </is>
      </c>
      <c r="C6" s="4" t="inlineStr">
        <is>
          <t>Недостатній товарний запас → втрачені продажі</t>
        </is>
      </c>
      <c r="D6" s="4" t="inlineStr">
        <is>
          <t>Середня</t>
        </is>
      </c>
      <c r="E6" s="4" t="inlineStr">
        <is>
          <t>Середній</t>
        </is>
      </c>
      <c r="F6" s="4" t="inlineStr">
        <is>
          <t>Середній</t>
        </is>
      </c>
      <c r="G6" s="4" t="inlineStr">
        <is>
          <t>Точки дозамовлення в ERP; страховий запас за топ-позиціями; швидкі постачальники</t>
        </is>
      </c>
    </row>
    <row r="7">
      <c r="A7" s="4" t="inlineStr">
        <is>
          <t>Р4</t>
        </is>
      </c>
      <c r="B7" s="4" t="inlineStr">
        <is>
          <t>Операційний</t>
        </is>
      </c>
      <c r="C7" s="4" t="inlineStr">
        <is>
          <t>Затоварення / застарілий товар (розмірні ряди, колекції)</t>
        </is>
      </c>
      <c r="D7" s="4" t="inlineStr">
        <is>
          <t>Середня</t>
        </is>
      </c>
      <c r="E7" s="4" t="inlineStr">
        <is>
          <t>Середній</t>
        </is>
      </c>
      <c r="F7" s="4" t="inlineStr">
        <is>
          <t>Середній</t>
        </is>
      </c>
      <c r="G7" s="4" t="inlineStr">
        <is>
          <t>Аналіз оборотності щомісяця; сезонні розпродажі; обережна глибина закупівлі нових колекцій</t>
        </is>
      </c>
    </row>
    <row r="8">
      <c r="A8" s="4" t="inlineStr">
        <is>
          <t>Р5</t>
        </is>
      </c>
      <c r="B8" s="4" t="inlineStr">
        <is>
          <t>Операційний</t>
        </is>
      </c>
      <c r="C8" s="4" t="inlineStr">
        <is>
          <t>Брак кваліфікованих продавців; плинність персоналу</t>
        </is>
      </c>
      <c r="D8" s="4" t="inlineStr">
        <is>
          <t>Середня</t>
        </is>
      </c>
      <c r="E8" s="4" t="inlineStr">
        <is>
          <t>Середній</t>
        </is>
      </c>
      <c r="F8" s="4" t="inlineStr">
        <is>
          <t>Середній</t>
        </is>
      </c>
      <c r="G8" s="4" t="inlineStr">
        <is>
          <t>Конкурентна зарплата + % від продажів; навчання; кадровий резерв</t>
        </is>
      </c>
    </row>
    <row r="9">
      <c r="A9" s="20" t="inlineStr">
        <is>
          <t>Р6</t>
        </is>
      </c>
      <c r="B9" s="20" t="inlineStr">
        <is>
          <t>Фінансовий</t>
        </is>
      </c>
      <c r="C9" s="20" t="inlineStr">
        <is>
          <t>Девальвація гривні → зростання закупівельних цін (імпорт)</t>
        </is>
      </c>
      <c r="D9" s="20" t="inlineStr">
        <is>
          <t>Висока</t>
        </is>
      </c>
      <c r="E9" s="20" t="inlineStr">
        <is>
          <t>Високий</t>
        </is>
      </c>
      <c r="F9" s="20" t="inlineStr">
        <is>
          <t>Критичний</t>
        </is>
      </c>
      <c r="G9" s="20" t="inlineStr">
        <is>
          <t>Валютне ціноутворення (швидкий перегляд цін); частина запасу — передоплачена; маржинальний буфер</t>
        </is>
      </c>
    </row>
    <row r="10">
      <c r="A10" s="4" t="inlineStr">
        <is>
          <t>Р7</t>
        </is>
      </c>
      <c r="B10" s="4" t="inlineStr">
        <is>
          <t>Фінансовий</t>
        </is>
      </c>
      <c r="C10" s="4" t="inlineStr">
        <is>
          <t>Зростання оренди/зарплат вище прогнозу</t>
        </is>
      </c>
      <c r="D10" s="4" t="inlineStr">
        <is>
          <t>Середня</t>
        </is>
      </c>
      <c r="E10" s="4" t="inlineStr">
        <is>
          <t>Середній</t>
        </is>
      </c>
      <c r="F10" s="4" t="inlineStr">
        <is>
          <t>Середній</t>
        </is>
      </c>
      <c r="G10" s="4" t="inlineStr">
        <is>
          <t>Довгостроковий договір оренди з фіксацією або капом індексації; фінансова подушка 3 міс. OpEx</t>
        </is>
      </c>
    </row>
    <row r="11">
      <c r="A11" s="20" t="inlineStr">
        <is>
          <t>Р8</t>
        </is>
      </c>
      <c r="B11" s="20" t="inlineStr">
        <is>
          <t>Фінансовий</t>
        </is>
      </c>
      <c r="C11" s="20" t="inlineStr">
        <is>
          <t>Касові розриви на старті (сезонність, повільний розгін)</t>
        </is>
      </c>
      <c r="D11" s="20" t="inlineStr">
        <is>
          <t>Висока</t>
        </is>
      </c>
      <c r="E11" s="20" t="inlineStr">
        <is>
          <t>Високий</t>
        </is>
      </c>
      <c r="F11" s="20" t="inlineStr">
        <is>
          <t>Критичний</t>
        </is>
      </c>
      <c r="G11" s="20" t="inlineStr">
        <is>
          <t>Grace period по позиці 6 міс.; резерв ліквідності; контроль cash-flow щотижня</t>
        </is>
      </c>
    </row>
    <row r="12">
      <c r="A12" s="4" t="inlineStr">
        <is>
          <t>Р9</t>
        </is>
      </c>
      <c r="B12" s="4" t="inlineStr">
        <is>
          <t>Юридичний</t>
        </is>
      </c>
      <c r="C12" s="4" t="inlineStr">
        <is>
          <t>Зміни податкового законодавства воєнного часу</t>
        </is>
      </c>
      <c r="D12" s="4" t="inlineStr">
        <is>
          <t>Середня</t>
        </is>
      </c>
      <c r="E12" s="4" t="inlineStr">
        <is>
          <t>Середній</t>
        </is>
      </c>
      <c r="F12" s="4" t="inlineStr">
        <is>
          <t>Середній</t>
        </is>
      </c>
      <c r="G12" s="4" t="inlineStr">
        <is>
          <t>Супровід бухгалтера/податкового консультанта; моніторинг змін; запас у фінмоделі</t>
        </is>
      </c>
    </row>
    <row r="13">
      <c r="A13" s="4" t="inlineStr">
        <is>
          <t>Р10</t>
        </is>
      </c>
      <c r="B13" s="4" t="inlineStr">
        <is>
          <t>Юридичний</t>
        </is>
      </c>
      <c r="C13" s="4" t="inlineStr">
        <is>
          <t>Конфлікт з інвестором: вимога контролю над онлайн-бізнесом</t>
        </is>
      </c>
      <c r="D13" s="4" t="inlineStr">
        <is>
          <t>Низька</t>
        </is>
      </c>
      <c r="E13" s="4" t="inlineStr">
        <is>
          <t>Критичний</t>
        </is>
      </c>
      <c r="F13" s="4" t="inlineStr">
        <is>
          <t>Високий</t>
        </is>
      </c>
      <c r="G13" s="4" t="inlineStr">
        <is>
          <t>Окреме ТОВ (SPV); прямий пункт про непоширення прав на онлайн; арбітражне застереження; прозора звітність</t>
        </is>
      </c>
    </row>
    <row r="14">
      <c r="A14" s="4" t="inlineStr">
        <is>
          <t>Р11</t>
        </is>
      </c>
      <c r="B14" s="4" t="inlineStr">
        <is>
          <t>Регуляторний</t>
        </is>
      </c>
      <c r="C14" s="4" t="inlineStr">
        <is>
          <t>Використання забороненого ПЗ (1С/BAS/Bitrix/МойСклад) — штрафи до 2% обороту</t>
        </is>
      </c>
      <c r="D14" s="4" t="inlineStr">
        <is>
          <t>Низька</t>
        </is>
      </c>
      <c r="E14" s="4" t="inlineStr">
        <is>
          <t>Високий</t>
        </is>
      </c>
      <c r="F14" s="4" t="inlineStr">
        <is>
          <t>Середній</t>
        </is>
      </c>
      <c r="G14" s="4" t="inlineStr">
        <is>
          <t>Аудит ПЗ перед запуском; лише дозволені системи (Dilovod, Odoo, KeyCRM, Checkbox); перевірка переліку cip.gov.ua</t>
        </is>
      </c>
    </row>
    <row r="15">
      <c r="A15" s="20" t="inlineStr">
        <is>
          <t>Р12</t>
        </is>
      </c>
      <c r="B15" s="20" t="inlineStr">
        <is>
          <t>Форс-мажор</t>
        </is>
      </c>
      <c r="C15" s="20" t="inlineStr">
        <is>
          <t>Воєнні ризики: пошкодження майна, перебої електропостачання, релокація</t>
        </is>
      </c>
      <c r="D15" s="20" t="inlineStr">
        <is>
          <t>Середня</t>
        </is>
      </c>
      <c r="E15" s="20" t="inlineStr">
        <is>
          <t>Критичний</t>
        </is>
      </c>
      <c r="F15" s="20" t="inlineStr">
        <is>
          <t>Критичний</t>
        </is>
      </c>
      <c r="G15" s="20" t="inlineStr">
        <is>
          <t>Комерційне страхування (пожежа, майно); генератор/EcoFlow для каси; форс-мажорні пункти в усіх договорах; план Б щодо локації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2026-06-11T06:52:58Z</dcterms:created>
  <dcterms:modified xsi:type="dcterms:W3CDTF">2026-06-11T06:52:58Z</dcterms:modified>
</cp:coreProperties>
</file>